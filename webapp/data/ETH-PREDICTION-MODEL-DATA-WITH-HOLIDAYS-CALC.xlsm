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ATHYA\ZK\ZK-Montreal\"/>
    </mc:Choice>
  </mc:AlternateContent>
  <xr:revisionPtr revIDLastSave="0" documentId="13_ncr:1_{C797AAE4-A0BD-4C1E-B483-9A82FD64A53F}" xr6:coauthVersionLast="47" xr6:coauthVersionMax="47" xr10:uidLastSave="{00000000-0000-0000-0000-000000000000}"/>
  <bookViews>
    <workbookView xWindow="3550" yWindow="2520" windowWidth="17480" windowHeight="9120" xr2:uid="{FFF7574D-2235-4ADB-9F0F-875020D2AD0C}"/>
  </bookViews>
  <sheets>
    <sheet name="ETH-ETF-ALL-DATA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3" i="1" l="1"/>
  <c r="AA60" i="1"/>
  <c r="AA57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2" i="1"/>
  <c r="Y60" i="1"/>
  <c r="X57" i="1"/>
  <c r="Y57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2" i="1"/>
</calcChain>
</file>

<file path=xl/sharedStrings.xml><?xml version="1.0" encoding="utf-8"?>
<sst xmlns="http://schemas.openxmlformats.org/spreadsheetml/2006/main" count="35" uniqueCount="35">
  <si>
    <t>DATE</t>
  </si>
  <si>
    <t>ETHA</t>
  </si>
  <si>
    <t>FETH</t>
  </si>
  <si>
    <t>ETHW</t>
  </si>
  <si>
    <t>CETH</t>
  </si>
  <si>
    <t>ETHV</t>
  </si>
  <si>
    <t>QETH</t>
  </si>
  <si>
    <t>EZET</t>
  </si>
  <si>
    <t>ETHE</t>
  </si>
  <si>
    <t>ETH</t>
  </si>
  <si>
    <t>TOTAL</t>
  </si>
  <si>
    <t>Open</t>
  </si>
  <si>
    <t>High</t>
  </si>
  <si>
    <t>Low</t>
  </si>
  <si>
    <t>Close </t>
  </si>
  <si>
    <t>Adj Close </t>
  </si>
  <si>
    <t>Volume</t>
  </si>
  <si>
    <t>prevOpen</t>
  </si>
  <si>
    <t>prevHigh</t>
  </si>
  <si>
    <t>prevLow</t>
  </si>
  <si>
    <t>prevClose </t>
  </si>
  <si>
    <t>prevAdjClose </t>
  </si>
  <si>
    <t>prevVolume</t>
  </si>
  <si>
    <t>DiffHighPrevLow</t>
  </si>
  <si>
    <t>HighPrevLowRatio</t>
  </si>
  <si>
    <t>LNRATIO</t>
  </si>
  <si>
    <t>LNRATIOSQ</t>
  </si>
  <si>
    <t>Dheeraj N</t>
  </si>
  <si>
    <t>2:04 AM</t>
  </si>
  <si>
    <t>uint256 public constant BASE_FEE = 1000; // 0.10% (in basis points) uint256 public constant VOLATILITY_FACTOR = 5; // 0.05% per 0.01 volatility increase uint256 public constant VOLATILITY_THRESHOLD = 20000; // 20% (scaled by 1000) uint256 public constant MIN_FEE = 500; // 0.05% uint256 public constant MAX_FEE = 10000; // 1</t>
  </si>
  <si>
    <t>Trading Fee = Base Fee + Volatility Factor × (Current Volatility − Volatality Threshold)</t>
  </si>
  <si>
    <t>Current Volatility: Measured volatility (e.g., 0.30 or 30% annualized</t>
  </si>
  <si>
    <t xml:space="preserve"> Volatility Threshold: The level above which additional fees are applied (e.g., 0.20 or 20%)</t>
  </si>
  <si>
    <t xml:space="preserve">Base Fee: The fee during low volatility (e.g., 0.10%).  </t>
  </si>
  <si>
    <t>Volatility Factor: How much the fee increases per unit of volatility (e.g., 0.05% per 0.01 increase in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</si>
</sst>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7"/>
      <color rgb="FF232A31"/>
      <name val="Arial"/>
      <family val="2"/>
    </font>
    <font>
      <sz val="7"/>
      <color rgb="FF232A31"/>
      <name val="Arial"/>
      <family val="2"/>
    </font>
    <font>
      <sz val="6"/>
      <color theme="1"/>
      <name val="Arial"/>
      <family val="2"/>
    </font>
    <font>
      <sz val="6"/>
      <color theme="1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10" xfId="0" applyBorder="1"/>
    <xf numFmtId="15" fontId="0" fillId="0" borderId="10" xfId="0" applyNumberFormat="1" applyBorder="1"/>
    <xf numFmtId="0" fontId="18" fillId="33" borderId="10" xfId="0" applyFont="1" applyFill="1" applyBorder="1" applyAlignment="1">
      <alignment horizontal="right" vertical="center"/>
    </xf>
    <xf numFmtId="4" fontId="19" fillId="33" borderId="10" xfId="0" applyNumberFormat="1" applyFont="1" applyFill="1" applyBorder="1" applyAlignment="1">
      <alignment horizontal="right" vertical="center"/>
    </xf>
    <xf numFmtId="3" fontId="19" fillId="33" borderId="10" xfId="0" applyNumberFormat="1" applyFont="1" applyFill="1" applyBorder="1" applyAlignment="1">
      <alignment horizontal="right" vertical="center"/>
    </xf>
    <xf numFmtId="0" fontId="0" fillId="34" borderId="10" xfId="0" applyFill="1" applyBorder="1"/>
    <xf numFmtId="4" fontId="19" fillId="34" borderId="10" xfId="0" applyNumberFormat="1" applyFont="1" applyFill="1" applyBorder="1" applyAlignment="1">
      <alignment horizontal="right" vertical="center"/>
    </xf>
    <xf numFmtId="3" fontId="19" fillId="34" borderId="10" xfId="0" applyNumberFormat="1" applyFont="1" applyFill="1" applyBorder="1" applyAlignment="1">
      <alignment horizontal="right" vertical="center"/>
    </xf>
    <xf numFmtId="0" fontId="0" fillId="35" borderId="10" xfId="0" applyFill="1" applyBorder="1"/>
    <xf numFmtId="4" fontId="19" fillId="35" borderId="10" xfId="0" applyNumberFormat="1" applyFont="1" applyFill="1" applyBorder="1" applyAlignment="1">
      <alignment horizontal="right" vertical="center"/>
    </xf>
    <xf numFmtId="3" fontId="19" fillId="35" borderId="10" xfId="0" applyNumberFormat="1" applyFont="1" applyFill="1" applyBorder="1" applyAlignment="1">
      <alignment horizontal="right" vertical="center"/>
    </xf>
    <xf numFmtId="0" fontId="0" fillId="36" borderId="10" xfId="0" applyFill="1" applyBorder="1"/>
    <xf numFmtId="0" fontId="0" fillId="37" borderId="10" xfId="0" applyFill="1" applyBorder="1"/>
    <xf numFmtId="4" fontId="19" fillId="38" borderId="10" xfId="0" applyNumberFormat="1" applyFont="1" applyFill="1" applyBorder="1" applyAlignment="1">
      <alignment horizontal="right" vertical="center"/>
    </xf>
    <xf numFmtId="3" fontId="19" fillId="38" borderId="10" xfId="0" applyNumberFormat="1" applyFont="1" applyFill="1" applyBorder="1" applyAlignment="1">
      <alignment horizontal="right" vertical="center"/>
    </xf>
    <xf numFmtId="4" fontId="0" fillId="0" borderId="10" xfId="0" applyNumberFormat="1" applyBorder="1"/>
    <xf numFmtId="0" fontId="0" fillId="39" borderId="10" xfId="0" applyFill="1" applyBorder="1"/>
    <xf numFmtId="9" fontId="0" fillId="39" borderId="10" xfId="0" applyNumberFormat="1" applyFill="1" applyBorder="1"/>
    <xf numFmtId="9" fontId="0" fillId="0" borderId="10" xfId="0" applyNumberFormat="1" applyBorder="1"/>
    <xf numFmtId="0" fontId="21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18B84-292D-41A9-B1F4-28724F8C4095}">
  <dimension ref="A1:AA73"/>
  <sheetViews>
    <sheetView tabSelected="1" topLeftCell="J1" workbookViewId="0">
      <selection activeCell="K1" sqref="K1"/>
    </sheetView>
  </sheetViews>
  <sheetFormatPr defaultColWidth="8.75" defaultRowHeight="14"/>
  <cols>
    <col min="1" max="1" width="10.33203125" style="1" customWidth="1"/>
    <col min="2" max="10" width="8.75" style="1"/>
    <col min="11" max="11" width="68.6640625" style="1" bestFit="1" customWidth="1"/>
    <col min="12" max="16" width="8.75" style="1"/>
    <col min="17" max="17" width="13.5" style="1" customWidth="1"/>
    <col min="18" max="18" width="11.25" style="1" bestFit="1" customWidth="1"/>
    <col min="19" max="19" width="10.1640625" style="1" bestFit="1" customWidth="1"/>
    <col min="20" max="23" width="8.75" style="1"/>
    <col min="24" max="24" width="12.9140625" style="1" bestFit="1" customWidth="1"/>
    <col min="25" max="25" width="14.1640625" style="17" bestFit="1" customWidth="1"/>
    <col min="26" max="26" width="11.08203125" style="1" customWidth="1"/>
    <col min="27" max="27" width="8.75" style="17"/>
    <col min="28" max="16384" width="8.75" style="1"/>
  </cols>
  <sheetData>
    <row r="1" spans="1:2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1" t="s">
        <v>23</v>
      </c>
      <c r="Y1" s="17" t="s">
        <v>24</v>
      </c>
      <c r="Z1" s="1" t="s">
        <v>25</v>
      </c>
      <c r="AA1" s="17" t="s">
        <v>26</v>
      </c>
    </row>
    <row r="2" spans="1:27">
      <c r="A2" s="2">
        <v>45496</v>
      </c>
      <c r="B2" s="1">
        <v>266.5</v>
      </c>
      <c r="C2" s="1">
        <v>71.3</v>
      </c>
      <c r="D2" s="1">
        <v>204</v>
      </c>
      <c r="E2" s="1">
        <v>7.5</v>
      </c>
      <c r="F2" s="1">
        <v>7.6</v>
      </c>
      <c r="G2" s="1">
        <v>5.5</v>
      </c>
      <c r="H2" s="1">
        <v>13.2</v>
      </c>
      <c r="I2" s="1">
        <v>-484.1</v>
      </c>
      <c r="J2" s="1">
        <v>15.1</v>
      </c>
      <c r="K2" s="1">
        <v>106.6</v>
      </c>
      <c r="L2" s="4">
        <v>3440.77</v>
      </c>
      <c r="M2" s="4">
        <v>3539.53</v>
      </c>
      <c r="N2" s="4">
        <v>3395.42</v>
      </c>
      <c r="O2" s="4">
        <v>3482</v>
      </c>
      <c r="P2" s="4">
        <v>3482</v>
      </c>
      <c r="Q2" s="5">
        <v>24468405650</v>
      </c>
      <c r="R2" s="4">
        <v>3440.77</v>
      </c>
      <c r="S2" s="4">
        <v>3440.77</v>
      </c>
      <c r="T2" s="4">
        <v>3440.77</v>
      </c>
      <c r="U2" s="4">
        <v>3440.77</v>
      </c>
      <c r="V2" s="4">
        <v>3440.77</v>
      </c>
      <c r="W2" s="4">
        <v>3440.77</v>
      </c>
      <c r="X2" s="16">
        <f>(M2-T2)</f>
        <v>98.760000000000218</v>
      </c>
      <c r="Y2" s="17">
        <f>(M2/N2)-1</f>
        <v>4.2442466616795516E-2</v>
      </c>
      <c r="Z2" s="1">
        <f>LN(M2/T2)</f>
        <v>2.8298666422803251E-2</v>
      </c>
      <c r="AA2" s="17">
        <f>(Z2^2)</f>
        <v>8.0081452130909209E-4</v>
      </c>
    </row>
    <row r="3" spans="1:27">
      <c r="A3" s="2">
        <v>45497</v>
      </c>
      <c r="B3" s="1">
        <v>17.399999999999999</v>
      </c>
      <c r="C3" s="1">
        <v>74.5</v>
      </c>
      <c r="D3" s="1">
        <v>29.6</v>
      </c>
      <c r="E3" s="1">
        <v>0</v>
      </c>
      <c r="F3" s="1">
        <v>19.8</v>
      </c>
      <c r="G3" s="1">
        <v>2.5</v>
      </c>
      <c r="H3" s="1">
        <v>3.9</v>
      </c>
      <c r="I3" s="1">
        <v>-326.89999999999998</v>
      </c>
      <c r="J3" s="1">
        <v>45.9</v>
      </c>
      <c r="K3" s="1">
        <v>-133.30000000000001</v>
      </c>
      <c r="L3" s="4">
        <v>3482.15</v>
      </c>
      <c r="M3" s="4">
        <v>3487.65</v>
      </c>
      <c r="N3" s="4">
        <v>3304.04</v>
      </c>
      <c r="O3" s="4">
        <v>3336.34</v>
      </c>
      <c r="P3" s="4">
        <v>3336.34</v>
      </c>
      <c r="Q3" s="5">
        <v>16040945448</v>
      </c>
      <c r="R3" s="4">
        <v>3440.77</v>
      </c>
      <c r="S3" s="4">
        <v>3539.53</v>
      </c>
      <c r="T3" s="4">
        <v>3395.42</v>
      </c>
      <c r="U3" s="4">
        <v>3482</v>
      </c>
      <c r="V3" s="4">
        <v>3482</v>
      </c>
      <c r="W3" s="5">
        <v>24468405650</v>
      </c>
      <c r="X3" s="16">
        <f t="shared" ref="X3:X54" si="0">(M3-T3)</f>
        <v>92.230000000000018</v>
      </c>
      <c r="Y3" s="17">
        <f t="shared" ref="Y3:Y54" si="1">(M3/N3)-1</f>
        <v>5.5571361121536045E-2</v>
      </c>
      <c r="Z3" s="1">
        <f t="shared" ref="Z3:Z54" si="2">LN(M3/T3)</f>
        <v>2.680069227598738E-2</v>
      </c>
      <c r="AA3" s="17">
        <f t="shared" ref="AA3:AA54" si="3">(Z3^2)</f>
        <v>7.1827710647216964E-4</v>
      </c>
    </row>
    <row r="4" spans="1:27">
      <c r="A4" s="2">
        <v>45498</v>
      </c>
      <c r="B4" s="1">
        <v>70.900000000000006</v>
      </c>
      <c r="C4" s="1">
        <v>34.299999999999997</v>
      </c>
      <c r="D4" s="1">
        <v>16.3</v>
      </c>
      <c r="E4" s="1">
        <v>0</v>
      </c>
      <c r="F4" s="1">
        <v>8</v>
      </c>
      <c r="G4" s="1">
        <v>6.2</v>
      </c>
      <c r="H4" s="1">
        <v>0</v>
      </c>
      <c r="I4" s="1">
        <v>-346.2</v>
      </c>
      <c r="J4" s="1">
        <v>58.1</v>
      </c>
      <c r="K4" s="1">
        <v>-152.4</v>
      </c>
      <c r="L4" s="4">
        <v>3336.36</v>
      </c>
      <c r="M4" s="4">
        <v>3341.44</v>
      </c>
      <c r="N4" s="4">
        <v>3088.76</v>
      </c>
      <c r="O4" s="4">
        <v>3174.43</v>
      </c>
      <c r="P4" s="4">
        <v>3174.43</v>
      </c>
      <c r="Q4" s="5">
        <v>25293745810</v>
      </c>
      <c r="R4" s="4">
        <v>3482.15</v>
      </c>
      <c r="S4" s="4">
        <v>3487.65</v>
      </c>
      <c r="T4" s="4">
        <v>3304.04</v>
      </c>
      <c r="U4" s="4">
        <v>3336.34</v>
      </c>
      <c r="V4" s="4">
        <v>3336.34</v>
      </c>
      <c r="W4" s="5">
        <v>16040945448</v>
      </c>
      <c r="X4" s="16">
        <f t="shared" si="0"/>
        <v>37.400000000000091</v>
      </c>
      <c r="Y4" s="17">
        <f t="shared" si="1"/>
        <v>8.1806291197762171E-2</v>
      </c>
      <c r="Z4" s="1">
        <f t="shared" si="2"/>
        <v>1.1255889677017421E-2</v>
      </c>
      <c r="AA4" s="17">
        <f t="shared" si="3"/>
        <v>1.2669505242118734E-4</v>
      </c>
    </row>
    <row r="5" spans="1:27" s="6" customFormat="1">
      <c r="A5" s="2">
        <v>45499</v>
      </c>
      <c r="B5" s="6">
        <v>87.2</v>
      </c>
      <c r="C5" s="6">
        <v>39.299999999999997</v>
      </c>
      <c r="D5" s="6">
        <v>16</v>
      </c>
      <c r="E5" s="6">
        <v>0</v>
      </c>
      <c r="F5" s="6">
        <v>0</v>
      </c>
      <c r="G5" s="6">
        <v>0</v>
      </c>
      <c r="H5" s="6">
        <v>6.2</v>
      </c>
      <c r="I5" s="6">
        <v>-356.3</v>
      </c>
      <c r="J5" s="6">
        <v>44.9</v>
      </c>
      <c r="K5" s="6">
        <v>-162.69999999999999</v>
      </c>
      <c r="L5" s="7">
        <v>3174.05</v>
      </c>
      <c r="M5" s="7">
        <v>3285.76</v>
      </c>
      <c r="N5" s="7">
        <v>3172.78</v>
      </c>
      <c r="O5" s="7">
        <v>3275.95</v>
      </c>
      <c r="P5" s="7">
        <v>3275.95</v>
      </c>
      <c r="Q5" s="8">
        <v>15993893521</v>
      </c>
      <c r="R5" s="4">
        <v>3336.36</v>
      </c>
      <c r="S5" s="4">
        <v>3341.44</v>
      </c>
      <c r="T5" s="4">
        <v>3088.76</v>
      </c>
      <c r="U5" s="4">
        <v>3174.43</v>
      </c>
      <c r="V5" s="4">
        <v>3174.43</v>
      </c>
      <c r="W5" s="5">
        <v>25293745810</v>
      </c>
      <c r="X5" s="16">
        <f t="shared" si="0"/>
        <v>197</v>
      </c>
      <c r="Y5" s="17">
        <f t="shared" si="1"/>
        <v>3.560915033503731E-2</v>
      </c>
      <c r="Z5" s="1">
        <f t="shared" si="2"/>
        <v>6.1828263949441804E-2</v>
      </c>
      <c r="AA5" s="17">
        <f t="shared" si="3"/>
        <v>3.8227342230018452E-3</v>
      </c>
    </row>
    <row r="6" spans="1:27" s="13" customFormat="1">
      <c r="A6" s="2">
        <v>45500</v>
      </c>
      <c r="B6" s="13">
        <v>0</v>
      </c>
      <c r="C6" s="13">
        <v>0</v>
      </c>
      <c r="D6" s="13">
        <v>0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4">
        <v>3275.89</v>
      </c>
      <c r="M6" s="4">
        <v>3327.43</v>
      </c>
      <c r="N6" s="4">
        <v>3195.36</v>
      </c>
      <c r="O6" s="4">
        <v>3247.61</v>
      </c>
      <c r="P6" s="4">
        <v>3247.61</v>
      </c>
      <c r="Q6" s="5">
        <v>15198233287</v>
      </c>
      <c r="R6" s="7">
        <v>3174.05</v>
      </c>
      <c r="S6" s="7">
        <v>3285.76</v>
      </c>
      <c r="T6" s="7">
        <v>3172.78</v>
      </c>
      <c r="U6" s="7">
        <v>3275.95</v>
      </c>
      <c r="V6" s="7">
        <v>3275.95</v>
      </c>
      <c r="W6" s="8">
        <v>15993893521</v>
      </c>
      <c r="X6" s="16">
        <f t="shared" si="0"/>
        <v>154.64999999999964</v>
      </c>
      <c r="Y6" s="17">
        <f t="shared" si="1"/>
        <v>4.1331806118872327E-2</v>
      </c>
      <c r="Z6" s="1">
        <f t="shared" si="2"/>
        <v>4.7592059068334219E-2</v>
      </c>
      <c r="AA6" s="17">
        <f t="shared" si="3"/>
        <v>2.2650040863638134E-3</v>
      </c>
    </row>
    <row r="7" spans="1:27" s="13" customFormat="1">
      <c r="A7" s="2">
        <v>45501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4">
        <v>3247.51</v>
      </c>
      <c r="M7" s="4">
        <v>3283.15</v>
      </c>
      <c r="N7" s="4">
        <v>3201.76</v>
      </c>
      <c r="O7" s="4">
        <v>3271.46</v>
      </c>
      <c r="P7" s="4">
        <v>3271.46</v>
      </c>
      <c r="Q7" s="5">
        <v>8959236446</v>
      </c>
      <c r="R7" s="4">
        <v>3275.89</v>
      </c>
      <c r="S7" s="4">
        <v>3327.43</v>
      </c>
      <c r="T7" s="4">
        <v>3195.36</v>
      </c>
      <c r="U7" s="4">
        <v>3247.61</v>
      </c>
      <c r="V7" s="4">
        <v>3247.61</v>
      </c>
      <c r="W7" s="5">
        <v>15198233287</v>
      </c>
      <c r="X7" s="16">
        <f t="shared" si="0"/>
        <v>87.789999999999964</v>
      </c>
      <c r="Y7" s="17">
        <f t="shared" si="1"/>
        <v>2.5420393783418982E-2</v>
      </c>
      <c r="Z7" s="1">
        <f t="shared" si="2"/>
        <v>2.7103569855095225E-2</v>
      </c>
      <c r="AA7" s="17">
        <f t="shared" si="3"/>
        <v>7.3460349889002663E-4</v>
      </c>
    </row>
    <row r="8" spans="1:27">
      <c r="A8" s="2">
        <v>45502</v>
      </c>
      <c r="B8" s="1">
        <v>58.2</v>
      </c>
      <c r="C8" s="1">
        <v>24.8</v>
      </c>
      <c r="D8" s="1">
        <v>10.4</v>
      </c>
      <c r="E8" s="1">
        <v>0</v>
      </c>
      <c r="F8" s="1">
        <v>10.9</v>
      </c>
      <c r="G8" s="1">
        <v>0</v>
      </c>
      <c r="H8" s="1">
        <v>2.5</v>
      </c>
      <c r="I8" s="1">
        <v>-210</v>
      </c>
      <c r="J8" s="1">
        <v>4.9000000000000004</v>
      </c>
      <c r="K8" s="1">
        <v>-98.3</v>
      </c>
      <c r="L8" s="14">
        <v>3271.45</v>
      </c>
      <c r="M8" s="14">
        <v>3396.63</v>
      </c>
      <c r="N8" s="14">
        <v>3257.72</v>
      </c>
      <c r="O8" s="14">
        <v>3320.54</v>
      </c>
      <c r="P8" s="14">
        <v>3320.54</v>
      </c>
      <c r="Q8" s="15">
        <v>18334852719</v>
      </c>
      <c r="R8" s="4">
        <v>3247.51</v>
      </c>
      <c r="S8" s="4">
        <v>3283.15</v>
      </c>
      <c r="T8" s="4">
        <v>3201.76</v>
      </c>
      <c r="U8" s="4">
        <v>3271.46</v>
      </c>
      <c r="V8" s="4">
        <v>3271.46</v>
      </c>
      <c r="W8" s="5">
        <v>8959236446</v>
      </c>
      <c r="X8" s="16">
        <f t="shared" si="0"/>
        <v>194.86999999999989</v>
      </c>
      <c r="Y8" s="17">
        <f t="shared" si="1"/>
        <v>4.2640251464214352E-2</v>
      </c>
      <c r="Z8" s="1">
        <f t="shared" si="2"/>
        <v>5.9083105000184183E-2</v>
      </c>
      <c r="AA8" s="17">
        <f t="shared" si="3"/>
        <v>3.4908132964627894E-3</v>
      </c>
    </row>
    <row r="9" spans="1:27">
      <c r="A9" s="2">
        <v>45503</v>
      </c>
      <c r="B9" s="1">
        <v>118</v>
      </c>
      <c r="C9" s="1">
        <v>16.399999999999999</v>
      </c>
      <c r="D9" s="1">
        <v>3.5</v>
      </c>
      <c r="E9" s="1">
        <v>0</v>
      </c>
      <c r="F9" s="1">
        <v>0</v>
      </c>
      <c r="G9" s="1">
        <v>0</v>
      </c>
      <c r="H9" s="1">
        <v>3.7</v>
      </c>
      <c r="I9" s="1">
        <v>-120.3</v>
      </c>
      <c r="J9" s="1">
        <v>12.4</v>
      </c>
      <c r="K9" s="1">
        <v>33.700000000000003</v>
      </c>
      <c r="L9" s="4">
        <v>3320.64</v>
      </c>
      <c r="M9" s="4">
        <v>3365.32</v>
      </c>
      <c r="N9" s="4">
        <v>3235.76</v>
      </c>
      <c r="O9" s="4">
        <v>3278.67</v>
      </c>
      <c r="P9" s="4">
        <v>3278.67</v>
      </c>
      <c r="Q9" s="5">
        <v>14045773047</v>
      </c>
      <c r="R9" s="14">
        <v>3271.45</v>
      </c>
      <c r="S9" s="14">
        <v>3396.63</v>
      </c>
      <c r="T9" s="14">
        <v>3257.72</v>
      </c>
      <c r="U9" s="14">
        <v>3320.54</v>
      </c>
      <c r="V9" s="14">
        <v>3320.54</v>
      </c>
      <c r="W9" s="15">
        <v>18334852719</v>
      </c>
      <c r="X9" s="16">
        <f t="shared" si="0"/>
        <v>107.60000000000036</v>
      </c>
      <c r="Y9" s="17">
        <f t="shared" si="1"/>
        <v>4.0040052414270555E-2</v>
      </c>
      <c r="Z9" s="1">
        <f t="shared" si="2"/>
        <v>3.2495490967048887E-2</v>
      </c>
      <c r="AA9" s="17">
        <f t="shared" si="3"/>
        <v>1.0559569331895558E-3</v>
      </c>
    </row>
    <row r="10" spans="1:27">
      <c r="A10" s="2">
        <v>45504</v>
      </c>
      <c r="B10" s="1">
        <v>5</v>
      </c>
      <c r="C10" s="1">
        <v>18.8</v>
      </c>
      <c r="D10" s="1">
        <v>4.7</v>
      </c>
      <c r="E10" s="1">
        <v>3.3</v>
      </c>
      <c r="F10" s="1">
        <v>4.8</v>
      </c>
      <c r="G10" s="1">
        <v>0</v>
      </c>
      <c r="H10" s="1">
        <v>0</v>
      </c>
      <c r="I10" s="1">
        <v>-133.30000000000001</v>
      </c>
      <c r="J10" s="1">
        <v>19.5</v>
      </c>
      <c r="K10" s="1">
        <v>-77.2</v>
      </c>
      <c r="L10" s="4">
        <v>3278.69</v>
      </c>
      <c r="M10" s="4">
        <v>3347.64</v>
      </c>
      <c r="N10" s="4">
        <v>3216.07</v>
      </c>
      <c r="O10" s="4">
        <v>3231.3</v>
      </c>
      <c r="P10" s="4">
        <v>3231.3</v>
      </c>
      <c r="Q10" s="5">
        <v>16135380637</v>
      </c>
      <c r="R10" s="4">
        <v>3320.64</v>
      </c>
      <c r="S10" s="4">
        <v>3365.32</v>
      </c>
      <c r="T10" s="4">
        <v>3235.76</v>
      </c>
      <c r="U10" s="4">
        <v>3278.67</v>
      </c>
      <c r="V10" s="4">
        <v>3278.67</v>
      </c>
      <c r="W10" s="5">
        <v>14045773047</v>
      </c>
      <c r="X10" s="16">
        <f t="shared" si="0"/>
        <v>111.87999999999965</v>
      </c>
      <c r="Y10" s="17">
        <f t="shared" si="1"/>
        <v>4.0910179193860641E-2</v>
      </c>
      <c r="Z10" s="1">
        <f t="shared" si="2"/>
        <v>3.3991789154828804E-2</v>
      </c>
      <c r="AA10" s="17">
        <f t="shared" si="3"/>
        <v>1.155441729946337E-3</v>
      </c>
    </row>
    <row r="11" spans="1:27">
      <c r="A11" s="2">
        <v>45505</v>
      </c>
      <c r="B11" s="1">
        <v>89.6</v>
      </c>
      <c r="C11" s="1">
        <v>11.7</v>
      </c>
      <c r="D11" s="1">
        <v>3.4</v>
      </c>
      <c r="E11" s="1">
        <v>0</v>
      </c>
      <c r="F11" s="1">
        <v>0</v>
      </c>
      <c r="G11" s="1">
        <v>0</v>
      </c>
      <c r="H11" s="1">
        <v>0</v>
      </c>
      <c r="I11" s="1">
        <v>-78</v>
      </c>
      <c r="J11" s="1">
        <v>0</v>
      </c>
      <c r="K11" s="1">
        <v>26.7</v>
      </c>
      <c r="L11" s="4">
        <v>3231.25</v>
      </c>
      <c r="M11" s="4">
        <v>3241.78</v>
      </c>
      <c r="N11" s="4">
        <v>3078.54</v>
      </c>
      <c r="O11" s="4">
        <v>3201.56</v>
      </c>
      <c r="P11" s="4">
        <v>3201.56</v>
      </c>
      <c r="Q11" s="5">
        <v>20217639556</v>
      </c>
      <c r="R11" s="4">
        <v>3278.69</v>
      </c>
      <c r="S11" s="4">
        <v>3347.64</v>
      </c>
      <c r="T11" s="4">
        <v>3216.07</v>
      </c>
      <c r="U11" s="4">
        <v>3231.3</v>
      </c>
      <c r="V11" s="4">
        <v>3231.3</v>
      </c>
      <c r="W11" s="5">
        <v>16135380637</v>
      </c>
      <c r="X11" s="16">
        <f t="shared" si="0"/>
        <v>25.710000000000036</v>
      </c>
      <c r="Y11" s="17">
        <f t="shared" si="1"/>
        <v>5.3025135291404402E-2</v>
      </c>
      <c r="Z11" s="1">
        <f t="shared" si="2"/>
        <v>7.9624444158575922E-3</v>
      </c>
      <c r="AA11" s="17">
        <f t="shared" si="3"/>
        <v>6.3400521075621748E-5</v>
      </c>
    </row>
    <row r="12" spans="1:27" s="6" customFormat="1">
      <c r="A12" s="2">
        <v>45506</v>
      </c>
      <c r="B12" s="6">
        <v>0</v>
      </c>
      <c r="C12" s="6">
        <v>6</v>
      </c>
      <c r="D12" s="6">
        <v>0</v>
      </c>
      <c r="E12" s="6">
        <v>0</v>
      </c>
      <c r="F12" s="6">
        <v>0</v>
      </c>
      <c r="G12" s="6">
        <v>0</v>
      </c>
      <c r="H12" s="6">
        <v>1.1000000000000001</v>
      </c>
      <c r="I12" s="6">
        <v>-61.4</v>
      </c>
      <c r="J12" s="6">
        <v>0</v>
      </c>
      <c r="K12" s="6">
        <v>-54.3</v>
      </c>
      <c r="L12" s="7">
        <v>3201.6</v>
      </c>
      <c r="M12" s="7">
        <v>3214.53</v>
      </c>
      <c r="N12" s="7">
        <v>2965.73</v>
      </c>
      <c r="O12" s="7">
        <v>2986.01</v>
      </c>
      <c r="P12" s="7">
        <v>2986.01</v>
      </c>
      <c r="Q12" s="8">
        <v>21400241741</v>
      </c>
      <c r="R12" s="4">
        <v>3231.25</v>
      </c>
      <c r="S12" s="4">
        <v>3241.78</v>
      </c>
      <c r="T12" s="4">
        <v>3078.54</v>
      </c>
      <c r="U12" s="4">
        <v>3201.56</v>
      </c>
      <c r="V12" s="4">
        <v>3201.56</v>
      </c>
      <c r="W12" s="5">
        <v>20217639556</v>
      </c>
      <c r="X12" s="16">
        <f t="shared" si="0"/>
        <v>135.99000000000024</v>
      </c>
      <c r="Y12" s="17">
        <f t="shared" si="1"/>
        <v>8.3891655680051747E-2</v>
      </c>
      <c r="Z12" s="1">
        <f t="shared" si="2"/>
        <v>4.322569864157963E-2</v>
      </c>
      <c r="AA12" s="17">
        <f t="shared" si="3"/>
        <v>1.868461023052659E-3</v>
      </c>
    </row>
    <row r="13" spans="1:27" s="13" customFormat="1">
      <c r="A13" s="2">
        <v>45507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4">
        <v>2985.95</v>
      </c>
      <c r="M13" s="4">
        <v>3015.3</v>
      </c>
      <c r="N13" s="4">
        <v>2861.18</v>
      </c>
      <c r="O13" s="4">
        <v>2903.39</v>
      </c>
      <c r="P13" s="4">
        <v>2903.39</v>
      </c>
      <c r="Q13" s="5">
        <v>17844091431</v>
      </c>
      <c r="R13" s="7">
        <v>3201.6</v>
      </c>
      <c r="S13" s="7">
        <v>3214.53</v>
      </c>
      <c r="T13" s="7">
        <v>2965.73</v>
      </c>
      <c r="U13" s="7">
        <v>2986.01</v>
      </c>
      <c r="V13" s="7">
        <v>2986.01</v>
      </c>
      <c r="W13" s="8">
        <v>21400241741</v>
      </c>
      <c r="X13" s="16">
        <f t="shared" si="0"/>
        <v>49.570000000000164</v>
      </c>
      <c r="Y13" s="17">
        <f t="shared" si="1"/>
        <v>5.3865887500961218E-2</v>
      </c>
      <c r="Z13" s="1">
        <f t="shared" si="2"/>
        <v>1.6576119837077574E-2</v>
      </c>
      <c r="AA13" s="17">
        <f t="shared" si="3"/>
        <v>2.7476774885315666E-4</v>
      </c>
    </row>
    <row r="14" spans="1:27" s="13" customFormat="1">
      <c r="A14" s="2">
        <v>45508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4">
        <v>2903.09</v>
      </c>
      <c r="M14" s="4">
        <v>2931.47</v>
      </c>
      <c r="N14" s="4">
        <v>2639.57</v>
      </c>
      <c r="O14" s="4">
        <v>2686.4</v>
      </c>
      <c r="P14" s="4">
        <v>2686.4</v>
      </c>
      <c r="Q14" s="5">
        <v>21139601426</v>
      </c>
      <c r="R14" s="4">
        <v>2985.95</v>
      </c>
      <c r="S14" s="4">
        <v>3015.3</v>
      </c>
      <c r="T14" s="4">
        <v>2861.18</v>
      </c>
      <c r="U14" s="4">
        <v>2903.39</v>
      </c>
      <c r="V14" s="4">
        <v>2903.39</v>
      </c>
      <c r="W14" s="5">
        <v>17844091431</v>
      </c>
      <c r="X14" s="16">
        <f t="shared" si="0"/>
        <v>70.289999999999964</v>
      </c>
      <c r="Y14" s="17">
        <f t="shared" si="1"/>
        <v>0.11058619396341052</v>
      </c>
      <c r="Z14" s="1">
        <f t="shared" si="2"/>
        <v>2.4269876547431929E-2</v>
      </c>
      <c r="AA14" s="17">
        <f t="shared" si="3"/>
        <v>5.8902690762758635E-4</v>
      </c>
    </row>
    <row r="15" spans="1:27">
      <c r="A15" s="2">
        <v>45509</v>
      </c>
      <c r="B15" s="1">
        <v>47.1</v>
      </c>
      <c r="C15" s="1">
        <v>16.2</v>
      </c>
      <c r="D15" s="1">
        <v>7.2</v>
      </c>
      <c r="E15" s="1">
        <v>0</v>
      </c>
      <c r="F15" s="1">
        <v>16.600000000000001</v>
      </c>
      <c r="G15" s="1">
        <v>0</v>
      </c>
      <c r="H15" s="1">
        <v>0.9</v>
      </c>
      <c r="I15" s="1">
        <v>-46.8</v>
      </c>
      <c r="J15" s="1">
        <v>7.6</v>
      </c>
      <c r="K15" s="1">
        <v>48.8</v>
      </c>
      <c r="L15" s="14">
        <v>2686.03</v>
      </c>
      <c r="M15" s="14">
        <v>2695.89</v>
      </c>
      <c r="N15" s="14">
        <v>2122.5500000000002</v>
      </c>
      <c r="O15" s="14">
        <v>2417.21</v>
      </c>
      <c r="P15" s="14">
        <v>2417.21</v>
      </c>
      <c r="Q15" s="15">
        <v>67668132244</v>
      </c>
      <c r="R15" s="4">
        <v>2903.09</v>
      </c>
      <c r="S15" s="4">
        <v>2931.47</v>
      </c>
      <c r="T15" s="4">
        <v>2639.57</v>
      </c>
      <c r="U15" s="4">
        <v>2686.4</v>
      </c>
      <c r="V15" s="4">
        <v>2686.4</v>
      </c>
      <c r="W15" s="5">
        <v>21139601426</v>
      </c>
      <c r="X15" s="16">
        <f t="shared" si="0"/>
        <v>56.319999999999709</v>
      </c>
      <c r="Y15" s="17">
        <f t="shared" si="1"/>
        <v>0.27011848955266049</v>
      </c>
      <c r="Z15" s="1">
        <f t="shared" si="2"/>
        <v>2.1112365926570106E-2</v>
      </c>
      <c r="AA15" s="17">
        <f t="shared" si="3"/>
        <v>4.4573199501739844E-4</v>
      </c>
    </row>
    <row r="16" spans="1:27">
      <c r="A16" s="2">
        <v>45510</v>
      </c>
      <c r="B16" s="1">
        <v>109.9</v>
      </c>
      <c r="C16" s="1">
        <v>22.5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-39.700000000000003</v>
      </c>
      <c r="J16" s="1">
        <v>4.7</v>
      </c>
      <c r="K16" s="1">
        <v>98.4</v>
      </c>
      <c r="L16" s="4">
        <v>2417.27</v>
      </c>
      <c r="M16" s="4">
        <v>2553.58</v>
      </c>
      <c r="N16" s="4">
        <v>2416.5300000000002</v>
      </c>
      <c r="O16" s="4">
        <v>2458.7199999999998</v>
      </c>
      <c r="P16" s="4">
        <v>2458.7199999999998</v>
      </c>
      <c r="Q16" s="5">
        <v>26041995921</v>
      </c>
      <c r="R16" s="14">
        <v>2686.03</v>
      </c>
      <c r="S16" s="14">
        <v>2695.89</v>
      </c>
      <c r="T16" s="14">
        <v>2122.5500000000002</v>
      </c>
      <c r="U16" s="14">
        <v>2417.21</v>
      </c>
      <c r="V16" s="14">
        <v>2417.21</v>
      </c>
      <c r="W16" s="15">
        <v>67668132244</v>
      </c>
      <c r="X16" s="16">
        <f t="shared" si="0"/>
        <v>431.02999999999975</v>
      </c>
      <c r="Y16" s="17">
        <f t="shared" si="1"/>
        <v>5.6713552076738116E-2</v>
      </c>
      <c r="Z16" s="1">
        <f t="shared" si="2"/>
        <v>0.18487810011054986</v>
      </c>
      <c r="AA16" s="17">
        <f t="shared" si="3"/>
        <v>3.4179911900486498E-2</v>
      </c>
    </row>
    <row r="17" spans="1:27">
      <c r="A17" s="2">
        <v>45511</v>
      </c>
      <c r="B17" s="1">
        <v>0</v>
      </c>
      <c r="C17" s="1">
        <v>4.7</v>
      </c>
      <c r="D17" s="1">
        <v>1.7</v>
      </c>
      <c r="E17" s="1">
        <v>0</v>
      </c>
      <c r="F17" s="1">
        <v>0</v>
      </c>
      <c r="G17" s="1">
        <v>0</v>
      </c>
      <c r="H17" s="1">
        <v>1.8</v>
      </c>
      <c r="I17" s="1">
        <v>-31.9</v>
      </c>
      <c r="J17" s="1">
        <v>0</v>
      </c>
      <c r="K17" s="1">
        <v>-23.7</v>
      </c>
      <c r="L17" s="4">
        <v>2458.9899999999998</v>
      </c>
      <c r="M17" s="4">
        <v>2551.56</v>
      </c>
      <c r="N17" s="4">
        <v>2312.17</v>
      </c>
      <c r="O17" s="4">
        <v>2336.59</v>
      </c>
      <c r="P17" s="4">
        <v>2336.59</v>
      </c>
      <c r="Q17" s="5">
        <v>24264218606</v>
      </c>
      <c r="R17" s="4">
        <v>2417.27</v>
      </c>
      <c r="S17" s="4">
        <v>2553.58</v>
      </c>
      <c r="T17" s="4">
        <v>2416.5300000000002</v>
      </c>
      <c r="U17" s="4">
        <v>2458.7199999999998</v>
      </c>
      <c r="V17" s="4">
        <v>2458.7199999999998</v>
      </c>
      <c r="W17" s="5">
        <v>26041995921</v>
      </c>
      <c r="X17" s="16">
        <f t="shared" si="0"/>
        <v>135.02999999999975</v>
      </c>
      <c r="Y17" s="17">
        <f t="shared" si="1"/>
        <v>0.1035347746921722</v>
      </c>
      <c r="Z17" s="1">
        <f t="shared" si="2"/>
        <v>5.4372309949246425E-2</v>
      </c>
      <c r="AA17" s="17">
        <f t="shared" si="3"/>
        <v>2.9563480892169217E-3</v>
      </c>
    </row>
    <row r="18" spans="1:27">
      <c r="A18" s="2">
        <v>45512</v>
      </c>
      <c r="B18" s="1">
        <v>11.7</v>
      </c>
      <c r="C18" s="1">
        <v>-2.6</v>
      </c>
      <c r="D18" s="1">
        <v>2.8</v>
      </c>
      <c r="E18" s="1">
        <v>0</v>
      </c>
      <c r="F18" s="1">
        <v>0</v>
      </c>
      <c r="G18" s="1">
        <v>0</v>
      </c>
      <c r="H18" s="1">
        <v>0</v>
      </c>
      <c r="I18" s="1">
        <v>-19.8</v>
      </c>
      <c r="J18" s="1">
        <v>5</v>
      </c>
      <c r="K18" s="1">
        <v>-2.9</v>
      </c>
      <c r="L18" s="4">
        <v>2336.92</v>
      </c>
      <c r="M18" s="4">
        <v>2721.95</v>
      </c>
      <c r="N18" s="4">
        <v>2322.5300000000002</v>
      </c>
      <c r="O18" s="4">
        <v>2683.35</v>
      </c>
      <c r="P18" s="4">
        <v>2683.35</v>
      </c>
      <c r="Q18" s="5">
        <v>23468291180</v>
      </c>
      <c r="R18" s="4">
        <v>2458.9899999999998</v>
      </c>
      <c r="S18" s="4">
        <v>2551.56</v>
      </c>
      <c r="T18" s="4">
        <v>2312.17</v>
      </c>
      <c r="U18" s="4">
        <v>2336.59</v>
      </c>
      <c r="V18" s="4">
        <v>2336.59</v>
      </c>
      <c r="W18" s="5">
        <v>24264218606</v>
      </c>
      <c r="X18" s="16">
        <f t="shared" si="0"/>
        <v>409.77999999999975</v>
      </c>
      <c r="Y18" s="17">
        <f t="shared" si="1"/>
        <v>0.17197625003767425</v>
      </c>
      <c r="Z18" s="1">
        <f t="shared" si="2"/>
        <v>0.16316205769538747</v>
      </c>
      <c r="AA18" s="17">
        <f t="shared" si="3"/>
        <v>2.6621857071392949E-2</v>
      </c>
    </row>
    <row r="19" spans="1:27" s="6" customFormat="1">
      <c r="A19" s="2">
        <v>45513</v>
      </c>
      <c r="B19" s="6">
        <v>19.600000000000001</v>
      </c>
      <c r="C19" s="6">
        <v>3.9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-41.7</v>
      </c>
      <c r="J19" s="6">
        <v>2.4</v>
      </c>
      <c r="K19" s="6">
        <v>-15.8</v>
      </c>
      <c r="L19" s="7">
        <v>2683.72</v>
      </c>
      <c r="M19" s="7">
        <v>2706.45</v>
      </c>
      <c r="N19" s="7">
        <v>2555.23</v>
      </c>
      <c r="O19" s="7">
        <v>2599.6</v>
      </c>
      <c r="P19" s="7">
        <v>2599.6</v>
      </c>
      <c r="Q19" s="8">
        <v>17907141655</v>
      </c>
      <c r="R19" s="4">
        <v>2336.92</v>
      </c>
      <c r="S19" s="4">
        <v>2721.95</v>
      </c>
      <c r="T19" s="4">
        <v>2322.5300000000002</v>
      </c>
      <c r="U19" s="4">
        <v>2683.35</v>
      </c>
      <c r="V19" s="4">
        <v>2683.35</v>
      </c>
      <c r="W19" s="5">
        <v>23468291180</v>
      </c>
      <c r="X19" s="16">
        <f t="shared" si="0"/>
        <v>383.91999999999962</v>
      </c>
      <c r="Y19" s="17">
        <f t="shared" si="1"/>
        <v>5.9180582569866358E-2</v>
      </c>
      <c r="Z19" s="1">
        <f t="shared" si="2"/>
        <v>0.15298070430267099</v>
      </c>
      <c r="AA19" s="17">
        <f t="shared" si="3"/>
        <v>2.340309588894126E-2</v>
      </c>
    </row>
    <row r="20" spans="1:27" s="13" customFormat="1">
      <c r="A20" s="2">
        <v>45514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4">
        <v>2599.58</v>
      </c>
      <c r="M20" s="4">
        <v>2642.93</v>
      </c>
      <c r="N20" s="4">
        <v>2580.66</v>
      </c>
      <c r="O20" s="4">
        <v>2610.02</v>
      </c>
      <c r="P20" s="4">
        <v>2610.02</v>
      </c>
      <c r="Q20" s="5">
        <v>9361014219</v>
      </c>
      <c r="R20" s="7">
        <v>2683.72</v>
      </c>
      <c r="S20" s="7">
        <v>2706.45</v>
      </c>
      <c r="T20" s="7">
        <v>2555.23</v>
      </c>
      <c r="U20" s="7">
        <v>2599.6</v>
      </c>
      <c r="V20" s="7">
        <v>2599.6</v>
      </c>
      <c r="W20" s="8">
        <v>17907141655</v>
      </c>
      <c r="X20" s="16">
        <f t="shared" si="0"/>
        <v>87.699999999999818</v>
      </c>
      <c r="Y20" s="17">
        <f t="shared" si="1"/>
        <v>2.4129486255453969E-2</v>
      </c>
      <c r="Z20" s="1">
        <f t="shared" si="2"/>
        <v>3.3745911042933931E-2</v>
      </c>
      <c r="AA20" s="17">
        <f t="shared" si="3"/>
        <v>1.1387865121176102E-3</v>
      </c>
    </row>
    <row r="21" spans="1:27" s="13" customFormat="1">
      <c r="A21" s="2">
        <v>45515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4">
        <v>2609.9699999999998</v>
      </c>
      <c r="M21" s="4">
        <v>2718.8</v>
      </c>
      <c r="N21" s="4">
        <v>2544.17</v>
      </c>
      <c r="O21" s="4">
        <v>2553.25</v>
      </c>
      <c r="P21" s="4">
        <v>2553.25</v>
      </c>
      <c r="Q21" s="5">
        <v>13595441987</v>
      </c>
      <c r="R21" s="4">
        <v>2599.58</v>
      </c>
      <c r="S21" s="4">
        <v>2642.93</v>
      </c>
      <c r="T21" s="4">
        <v>2580.66</v>
      </c>
      <c r="U21" s="4">
        <v>2610.02</v>
      </c>
      <c r="V21" s="4">
        <v>2610.02</v>
      </c>
      <c r="W21" s="5">
        <v>9361014219</v>
      </c>
      <c r="X21" s="16">
        <f t="shared" si="0"/>
        <v>138.14000000000033</v>
      </c>
      <c r="Y21" s="17">
        <f t="shared" si="1"/>
        <v>6.8639281180109757E-2</v>
      </c>
      <c r="Z21" s="1">
        <f t="shared" si="2"/>
        <v>5.2145426318142118E-2</v>
      </c>
      <c r="AA21" s="17">
        <f t="shared" si="3"/>
        <v>2.7191454859007889E-3</v>
      </c>
    </row>
    <row r="22" spans="1:27">
      <c r="A22" s="2">
        <v>45516</v>
      </c>
      <c r="B22" s="1">
        <v>0</v>
      </c>
      <c r="C22" s="1">
        <v>4</v>
      </c>
      <c r="D22" s="1">
        <v>2.9</v>
      </c>
      <c r="E22" s="1">
        <v>0</v>
      </c>
      <c r="F22" s="1">
        <v>-2.9</v>
      </c>
      <c r="G22" s="1">
        <v>0</v>
      </c>
      <c r="H22" s="1">
        <v>1</v>
      </c>
      <c r="I22" s="1">
        <v>0</v>
      </c>
      <c r="J22" s="1">
        <v>0</v>
      </c>
      <c r="K22" s="1">
        <v>5</v>
      </c>
      <c r="L22" s="14">
        <v>2553.5</v>
      </c>
      <c r="M22" s="14">
        <v>2749.14</v>
      </c>
      <c r="N22" s="14">
        <v>2513.39</v>
      </c>
      <c r="O22" s="14">
        <v>2724.43</v>
      </c>
      <c r="P22" s="14">
        <v>2724.43</v>
      </c>
      <c r="Q22" s="15">
        <v>21653090666</v>
      </c>
      <c r="R22" s="4">
        <v>2609.9699999999998</v>
      </c>
      <c r="S22" s="4">
        <v>2718.8</v>
      </c>
      <c r="T22" s="4">
        <v>2544.17</v>
      </c>
      <c r="U22" s="4">
        <v>2553.25</v>
      </c>
      <c r="V22" s="4">
        <v>2553.25</v>
      </c>
      <c r="W22" s="5">
        <v>13595441987</v>
      </c>
      <c r="X22" s="16">
        <f t="shared" si="0"/>
        <v>204.9699999999998</v>
      </c>
      <c r="Y22" s="17">
        <f t="shared" si="1"/>
        <v>9.3797619947560973E-2</v>
      </c>
      <c r="Z22" s="1">
        <f t="shared" si="2"/>
        <v>7.748366835175248E-2</v>
      </c>
      <c r="AA22" s="17">
        <f t="shared" si="3"/>
        <v>6.0037188612443691E-3</v>
      </c>
    </row>
    <row r="23" spans="1:27">
      <c r="A23" s="2">
        <v>45517</v>
      </c>
      <c r="B23" s="1">
        <v>49.1</v>
      </c>
      <c r="C23" s="1">
        <v>5.4</v>
      </c>
      <c r="D23" s="1">
        <v>0</v>
      </c>
      <c r="E23" s="1">
        <v>0</v>
      </c>
      <c r="F23" s="1">
        <v>0</v>
      </c>
      <c r="G23" s="1">
        <v>0.8</v>
      </c>
      <c r="H23" s="1">
        <v>0</v>
      </c>
      <c r="I23" s="1">
        <v>-31</v>
      </c>
      <c r="J23" s="1">
        <v>0</v>
      </c>
      <c r="K23" s="1">
        <v>24.3</v>
      </c>
      <c r="L23" s="4">
        <v>2724.3</v>
      </c>
      <c r="M23" s="4">
        <v>2737.99</v>
      </c>
      <c r="N23" s="4">
        <v>2613.8000000000002</v>
      </c>
      <c r="O23" s="4">
        <v>2703.67</v>
      </c>
      <c r="P23" s="4">
        <v>2703.67</v>
      </c>
      <c r="Q23" s="5">
        <v>16383053029</v>
      </c>
      <c r="R23" s="14">
        <v>2553.5</v>
      </c>
      <c r="S23" s="14">
        <v>2749.14</v>
      </c>
      <c r="T23" s="14">
        <v>2513.39</v>
      </c>
      <c r="U23" s="14">
        <v>2724.43</v>
      </c>
      <c r="V23" s="14">
        <v>2724.43</v>
      </c>
      <c r="W23" s="15">
        <v>21653090666</v>
      </c>
      <c r="X23" s="16">
        <f t="shared" si="0"/>
        <v>224.59999999999991</v>
      </c>
      <c r="Y23" s="17">
        <f t="shared" si="1"/>
        <v>4.7513199173616849E-2</v>
      </c>
      <c r="Z23" s="1">
        <f t="shared" si="2"/>
        <v>8.5591635041951317E-2</v>
      </c>
      <c r="AA23" s="17">
        <f t="shared" si="3"/>
        <v>7.3259279891545884E-3</v>
      </c>
    </row>
    <row r="24" spans="1:27">
      <c r="A24" s="2">
        <v>45518</v>
      </c>
      <c r="B24" s="1">
        <v>16.100000000000001</v>
      </c>
      <c r="C24" s="1">
        <v>6.6</v>
      </c>
      <c r="D24" s="1">
        <v>2.7</v>
      </c>
      <c r="E24" s="1">
        <v>0</v>
      </c>
      <c r="F24" s="1">
        <v>0</v>
      </c>
      <c r="G24" s="1">
        <v>0</v>
      </c>
      <c r="H24" s="1">
        <v>0</v>
      </c>
      <c r="I24" s="1">
        <v>-16.899999999999999</v>
      </c>
      <c r="J24" s="1">
        <v>2.2999999999999998</v>
      </c>
      <c r="K24" s="1">
        <v>10.8</v>
      </c>
      <c r="L24" s="4">
        <v>2703.59</v>
      </c>
      <c r="M24" s="4">
        <v>2775.28</v>
      </c>
      <c r="N24" s="4">
        <v>2636.71</v>
      </c>
      <c r="O24" s="4">
        <v>2662.91</v>
      </c>
      <c r="P24" s="4">
        <v>2662.91</v>
      </c>
      <c r="Q24" s="5">
        <v>15825365408</v>
      </c>
      <c r="R24" s="4">
        <v>2724.3</v>
      </c>
      <c r="S24" s="4">
        <v>2737.99</v>
      </c>
      <c r="T24" s="4">
        <v>2613.8000000000002</v>
      </c>
      <c r="U24" s="4">
        <v>2703.67</v>
      </c>
      <c r="V24" s="4">
        <v>2703.67</v>
      </c>
      <c r="W24" s="5">
        <v>16383053029</v>
      </c>
      <c r="X24" s="16">
        <f t="shared" si="0"/>
        <v>161.48000000000002</v>
      </c>
      <c r="Y24" s="17">
        <f t="shared" si="1"/>
        <v>5.2554129957409046E-2</v>
      </c>
      <c r="Z24" s="1">
        <f t="shared" si="2"/>
        <v>5.9946541828346724E-2</v>
      </c>
      <c r="AA24" s="17">
        <f t="shared" si="3"/>
        <v>3.5935878771777233E-3</v>
      </c>
    </row>
    <row r="25" spans="1:27">
      <c r="A25" s="2">
        <v>45519</v>
      </c>
      <c r="B25" s="1">
        <v>0.8</v>
      </c>
      <c r="C25" s="1">
        <v>2.5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-42.5</v>
      </c>
      <c r="J25" s="1">
        <v>0</v>
      </c>
      <c r="K25" s="1">
        <v>-39.200000000000003</v>
      </c>
      <c r="L25" s="4">
        <v>2662.89</v>
      </c>
      <c r="M25" s="4">
        <v>2675.31</v>
      </c>
      <c r="N25" s="4">
        <v>2518.67</v>
      </c>
      <c r="O25" s="4">
        <v>2570.09</v>
      </c>
      <c r="P25" s="4">
        <v>2570.09</v>
      </c>
      <c r="Q25" s="5">
        <v>16345801912</v>
      </c>
      <c r="R25" s="4">
        <v>2703.59</v>
      </c>
      <c r="S25" s="4">
        <v>2775.28</v>
      </c>
      <c r="T25" s="4">
        <v>2636.71</v>
      </c>
      <c r="U25" s="4">
        <v>2662.91</v>
      </c>
      <c r="V25" s="4">
        <v>2662.91</v>
      </c>
      <c r="W25" s="5">
        <v>15825365408</v>
      </c>
      <c r="X25" s="16">
        <f t="shared" si="0"/>
        <v>38.599999999999909</v>
      </c>
      <c r="Y25" s="17">
        <f t="shared" si="1"/>
        <v>6.2191553478621708E-2</v>
      </c>
      <c r="Z25" s="1">
        <f t="shared" si="2"/>
        <v>1.4533333615016302E-2</v>
      </c>
      <c r="AA25" s="17">
        <f t="shared" si="3"/>
        <v>2.1121778596536281E-4</v>
      </c>
    </row>
    <row r="26" spans="1:27" s="6" customFormat="1">
      <c r="A26" s="2">
        <v>45520</v>
      </c>
      <c r="B26" s="6">
        <v>10.3</v>
      </c>
      <c r="C26" s="6">
        <v>7.2</v>
      </c>
      <c r="D26" s="6">
        <v>0</v>
      </c>
      <c r="E26" s="6">
        <v>0</v>
      </c>
      <c r="F26" s="6">
        <v>-4.8</v>
      </c>
      <c r="G26" s="6">
        <v>0</v>
      </c>
      <c r="H26" s="6">
        <v>0</v>
      </c>
      <c r="I26" s="6">
        <v>-27.7</v>
      </c>
      <c r="J26" s="6">
        <v>0</v>
      </c>
      <c r="K26" s="6">
        <v>-15</v>
      </c>
      <c r="L26" s="7">
        <v>2570.09</v>
      </c>
      <c r="M26" s="7">
        <v>2629.38</v>
      </c>
      <c r="N26" s="7">
        <v>2553.0700000000002</v>
      </c>
      <c r="O26" s="7">
        <v>2593.19</v>
      </c>
      <c r="P26" s="7">
        <v>2593.19</v>
      </c>
      <c r="Q26" s="8">
        <v>13275561555</v>
      </c>
      <c r="R26" s="4">
        <v>2662.89</v>
      </c>
      <c r="S26" s="4">
        <v>2675.31</v>
      </c>
      <c r="T26" s="4">
        <v>2518.67</v>
      </c>
      <c r="U26" s="4">
        <v>2570.09</v>
      </c>
      <c r="V26" s="4">
        <v>2570.09</v>
      </c>
      <c r="W26" s="5">
        <v>16345801912</v>
      </c>
      <c r="X26" s="16">
        <f t="shared" si="0"/>
        <v>110.71000000000004</v>
      </c>
      <c r="Y26" s="17">
        <f t="shared" si="1"/>
        <v>2.9889505575640296E-2</v>
      </c>
      <c r="Z26" s="1">
        <f t="shared" si="2"/>
        <v>4.3017092531584658E-2</v>
      </c>
      <c r="AA26" s="17">
        <f t="shared" si="3"/>
        <v>1.8504702498709166E-3</v>
      </c>
    </row>
    <row r="27" spans="1:27" s="13" customFormat="1">
      <c r="A27" s="2">
        <v>45521</v>
      </c>
      <c r="B27" s="13">
        <v>0</v>
      </c>
      <c r="C27" s="13">
        <v>0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4">
        <v>2593.17</v>
      </c>
      <c r="M27" s="4">
        <v>2626.67</v>
      </c>
      <c r="N27" s="4">
        <v>2588.79</v>
      </c>
      <c r="O27" s="4">
        <v>2614.5500000000002</v>
      </c>
      <c r="P27" s="4">
        <v>2614.5500000000002</v>
      </c>
      <c r="Q27" s="5">
        <v>6676568717</v>
      </c>
      <c r="R27" s="7">
        <v>2570.09</v>
      </c>
      <c r="S27" s="7">
        <v>2629.38</v>
      </c>
      <c r="T27" s="7">
        <v>2553.0700000000002</v>
      </c>
      <c r="U27" s="7">
        <v>2593.19</v>
      </c>
      <c r="V27" s="7">
        <v>2593.19</v>
      </c>
      <c r="W27" s="8">
        <v>13275561555</v>
      </c>
      <c r="X27" s="16">
        <f t="shared" si="0"/>
        <v>73.599999999999909</v>
      </c>
      <c r="Y27" s="17">
        <f t="shared" si="1"/>
        <v>1.4632318573542191E-2</v>
      </c>
      <c r="Z27" s="1">
        <f t="shared" si="2"/>
        <v>2.8420327629874502E-2</v>
      </c>
      <c r="AA27" s="17">
        <f t="shared" si="3"/>
        <v>8.0771502258940807E-4</v>
      </c>
    </row>
    <row r="28" spans="1:27" s="13" customFormat="1">
      <c r="A28" s="2">
        <v>45522</v>
      </c>
      <c r="B28" s="13">
        <v>0</v>
      </c>
      <c r="C28" s="13">
        <v>0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4">
        <v>2614.11</v>
      </c>
      <c r="M28" s="4">
        <v>2684.03</v>
      </c>
      <c r="N28" s="4">
        <v>2596.7399999999998</v>
      </c>
      <c r="O28" s="4">
        <v>2613.36</v>
      </c>
      <c r="P28" s="4">
        <v>2613.36</v>
      </c>
      <c r="Q28" s="5">
        <v>9207267415</v>
      </c>
      <c r="R28" s="4">
        <v>2593.17</v>
      </c>
      <c r="S28" s="4">
        <v>2626.67</v>
      </c>
      <c r="T28" s="4">
        <v>2588.79</v>
      </c>
      <c r="U28" s="4">
        <v>2614.5500000000002</v>
      </c>
      <c r="V28" s="4">
        <v>2614.5500000000002</v>
      </c>
      <c r="W28" s="5">
        <v>6676568717</v>
      </c>
      <c r="X28" s="16">
        <f t="shared" si="0"/>
        <v>95.240000000000236</v>
      </c>
      <c r="Y28" s="17">
        <f t="shared" si="1"/>
        <v>3.3615225243959879E-2</v>
      </c>
      <c r="Z28" s="1">
        <f t="shared" si="2"/>
        <v>3.6128811313209615E-2</v>
      </c>
      <c r="AA28" s="17">
        <f t="shared" si="3"/>
        <v>1.305291006905503E-3</v>
      </c>
    </row>
    <row r="29" spans="1:27">
      <c r="A29" s="2">
        <v>45523</v>
      </c>
      <c r="B29" s="1">
        <v>0</v>
      </c>
      <c r="C29" s="1">
        <v>0</v>
      </c>
      <c r="D29" s="1">
        <v>1.9</v>
      </c>
      <c r="E29" s="1">
        <v>0</v>
      </c>
      <c r="F29" s="1">
        <v>0</v>
      </c>
      <c r="G29" s="1">
        <v>0</v>
      </c>
      <c r="H29" s="1">
        <v>0</v>
      </c>
      <c r="I29" s="1">
        <v>-20.3</v>
      </c>
      <c r="J29" s="1">
        <v>4.9000000000000004</v>
      </c>
      <c r="K29" s="1">
        <v>-13.5</v>
      </c>
      <c r="L29" s="14">
        <v>2612.7199999999998</v>
      </c>
      <c r="M29" s="14">
        <v>2648.28</v>
      </c>
      <c r="N29" s="14">
        <v>2566.4</v>
      </c>
      <c r="O29" s="14">
        <v>2637.31</v>
      </c>
      <c r="P29" s="14">
        <v>2637.31</v>
      </c>
      <c r="Q29" s="15">
        <v>11968963282</v>
      </c>
      <c r="R29" s="4">
        <v>2614.11</v>
      </c>
      <c r="S29" s="4">
        <v>2684.03</v>
      </c>
      <c r="T29" s="4">
        <v>2596.7399999999998</v>
      </c>
      <c r="U29" s="4">
        <v>2613.36</v>
      </c>
      <c r="V29" s="4">
        <v>2613.36</v>
      </c>
      <c r="W29" s="5">
        <v>9207267415</v>
      </c>
      <c r="X29" s="16">
        <f t="shared" si="0"/>
        <v>51.540000000000418</v>
      </c>
      <c r="Y29" s="17">
        <f t="shared" si="1"/>
        <v>3.1904613466334109E-2</v>
      </c>
      <c r="Z29" s="1">
        <f t="shared" si="2"/>
        <v>1.9653560515118844E-2</v>
      </c>
      <c r="AA29" s="17">
        <f t="shared" si="3"/>
        <v>3.8626244092143848E-4</v>
      </c>
    </row>
    <row r="30" spans="1:27">
      <c r="A30" s="2">
        <v>45524</v>
      </c>
      <c r="B30" s="1">
        <v>26.8</v>
      </c>
      <c r="C30" s="1">
        <v>0</v>
      </c>
      <c r="D30" s="1">
        <v>3.7</v>
      </c>
      <c r="E30" s="1">
        <v>0</v>
      </c>
      <c r="F30" s="1">
        <v>0</v>
      </c>
      <c r="G30" s="1">
        <v>0</v>
      </c>
      <c r="H30" s="1">
        <v>0</v>
      </c>
      <c r="I30" s="1">
        <v>-37</v>
      </c>
      <c r="J30" s="1">
        <v>0</v>
      </c>
      <c r="K30" s="1">
        <v>-6.5</v>
      </c>
      <c r="L30" s="4">
        <v>2637.31</v>
      </c>
      <c r="M30" s="4">
        <v>2695.91</v>
      </c>
      <c r="N30" s="4">
        <v>2556.75</v>
      </c>
      <c r="O30" s="4">
        <v>2573.11</v>
      </c>
      <c r="P30" s="4">
        <v>2573.11</v>
      </c>
      <c r="Q30" s="5">
        <v>13249483464</v>
      </c>
      <c r="R30" s="14">
        <v>2612.7199999999998</v>
      </c>
      <c r="S30" s="14">
        <v>2648.28</v>
      </c>
      <c r="T30" s="14">
        <v>2566.4</v>
      </c>
      <c r="U30" s="14">
        <v>2637.31</v>
      </c>
      <c r="V30" s="14">
        <v>2637.31</v>
      </c>
      <c r="W30" s="15">
        <v>11968963282</v>
      </c>
      <c r="X30" s="16">
        <f t="shared" si="0"/>
        <v>129.50999999999976</v>
      </c>
      <c r="Y30" s="17">
        <f t="shared" si="1"/>
        <v>5.4428473648186149E-2</v>
      </c>
      <c r="Z30" s="1">
        <f t="shared" si="2"/>
        <v>4.9231671013466954E-2</v>
      </c>
      <c r="AA30" s="17">
        <f t="shared" si="3"/>
        <v>2.4237574307782424E-3</v>
      </c>
    </row>
    <row r="31" spans="1:27" s="9" customFormat="1">
      <c r="A31" s="2">
        <v>45525</v>
      </c>
      <c r="B31" s="9">
        <v>0</v>
      </c>
      <c r="C31" s="9">
        <v>7.9</v>
      </c>
      <c r="D31" s="9">
        <v>0</v>
      </c>
      <c r="E31" s="9">
        <v>0</v>
      </c>
      <c r="F31" s="9">
        <v>0</v>
      </c>
      <c r="G31" s="9">
        <v>0</v>
      </c>
      <c r="H31" s="9">
        <v>1</v>
      </c>
      <c r="I31" s="9">
        <v>-31.1</v>
      </c>
      <c r="J31" s="9">
        <v>4.2</v>
      </c>
      <c r="K31" s="9">
        <v>-18</v>
      </c>
      <c r="L31" s="4">
        <v>2573.11</v>
      </c>
      <c r="M31" s="4">
        <v>2662.95</v>
      </c>
      <c r="N31" s="4">
        <v>2538.66</v>
      </c>
      <c r="O31" s="4">
        <v>2631.4</v>
      </c>
      <c r="P31" s="4">
        <v>2631.4</v>
      </c>
      <c r="Q31" s="5">
        <v>12766015263</v>
      </c>
      <c r="R31" s="4">
        <v>2637.31</v>
      </c>
      <c r="S31" s="4">
        <v>2695.91</v>
      </c>
      <c r="T31" s="4">
        <v>2556.75</v>
      </c>
      <c r="U31" s="4">
        <v>2573.11</v>
      </c>
      <c r="V31" s="4">
        <v>2573.11</v>
      </c>
      <c r="W31" s="5">
        <v>13249483464</v>
      </c>
      <c r="X31" s="16">
        <f t="shared" si="0"/>
        <v>106.19999999999982</v>
      </c>
      <c r="Y31" s="17">
        <f t="shared" si="1"/>
        <v>4.8958899576942105E-2</v>
      </c>
      <c r="Z31" s="1">
        <f t="shared" si="2"/>
        <v>4.0697610134794122E-2</v>
      </c>
      <c r="AA31" s="17">
        <f t="shared" si="3"/>
        <v>1.6562954706836972E-3</v>
      </c>
    </row>
    <row r="32" spans="1:27">
      <c r="A32" s="2">
        <v>45526</v>
      </c>
      <c r="B32" s="1">
        <v>0</v>
      </c>
      <c r="C32" s="1">
        <v>14.3</v>
      </c>
      <c r="D32" s="1">
        <v>0</v>
      </c>
      <c r="E32" s="1">
        <v>0</v>
      </c>
      <c r="F32" s="1">
        <v>1</v>
      </c>
      <c r="G32" s="1">
        <v>0</v>
      </c>
      <c r="H32" s="1">
        <v>0</v>
      </c>
      <c r="I32" s="1">
        <v>-19.8</v>
      </c>
      <c r="J32" s="1">
        <v>3.7</v>
      </c>
      <c r="K32" s="1">
        <v>-0.8</v>
      </c>
      <c r="L32" s="10">
        <v>2630.86</v>
      </c>
      <c r="M32" s="10">
        <v>2644.82</v>
      </c>
      <c r="N32" s="10">
        <v>2587.11</v>
      </c>
      <c r="O32" s="10">
        <v>2622.95</v>
      </c>
      <c r="P32" s="10">
        <v>2622.95</v>
      </c>
      <c r="Q32" s="11">
        <v>10723280428</v>
      </c>
      <c r="R32" s="4">
        <v>2573.11</v>
      </c>
      <c r="S32" s="4">
        <v>2662.95</v>
      </c>
      <c r="T32" s="4">
        <v>2538.66</v>
      </c>
      <c r="U32" s="4">
        <v>2631.4</v>
      </c>
      <c r="V32" s="4">
        <v>2631.4</v>
      </c>
      <c r="W32" s="5">
        <v>12766015263</v>
      </c>
      <c r="X32" s="16">
        <f t="shared" si="0"/>
        <v>106.16000000000031</v>
      </c>
      <c r="Y32" s="17">
        <f t="shared" si="1"/>
        <v>2.2306743818391928E-2</v>
      </c>
      <c r="Z32" s="1">
        <f t="shared" si="2"/>
        <v>4.0966627297414154E-2</v>
      </c>
      <c r="AA32" s="17">
        <f t="shared" si="3"/>
        <v>1.6782645521252386E-3</v>
      </c>
    </row>
    <row r="33" spans="1:27" s="6" customFormat="1">
      <c r="A33" s="2">
        <v>45527</v>
      </c>
      <c r="B33" s="6">
        <v>0</v>
      </c>
      <c r="C33" s="6">
        <v>0.7</v>
      </c>
      <c r="D33" s="6">
        <v>1.4</v>
      </c>
      <c r="E33" s="6">
        <v>0</v>
      </c>
      <c r="F33" s="6">
        <v>2</v>
      </c>
      <c r="G33" s="6">
        <v>0</v>
      </c>
      <c r="H33" s="6">
        <v>0</v>
      </c>
      <c r="I33" s="6">
        <v>-9.8000000000000007</v>
      </c>
      <c r="J33" s="6">
        <v>0</v>
      </c>
      <c r="K33" s="6">
        <v>-5.7</v>
      </c>
      <c r="L33" s="7">
        <v>2622.92</v>
      </c>
      <c r="M33" s="7">
        <v>2799.33</v>
      </c>
      <c r="N33" s="7">
        <v>2622.58</v>
      </c>
      <c r="O33" s="7">
        <v>2764.45</v>
      </c>
      <c r="P33" s="7">
        <v>2764.45</v>
      </c>
      <c r="Q33" s="8">
        <v>16857181970</v>
      </c>
      <c r="R33" s="10">
        <v>2630.86</v>
      </c>
      <c r="S33" s="10">
        <v>2644.82</v>
      </c>
      <c r="T33" s="10">
        <v>2587.11</v>
      </c>
      <c r="U33" s="10">
        <v>2622.95</v>
      </c>
      <c r="V33" s="10">
        <v>2622.95</v>
      </c>
      <c r="W33" s="11">
        <v>10723280428</v>
      </c>
      <c r="X33" s="16">
        <f t="shared" si="0"/>
        <v>212.2199999999998</v>
      </c>
      <c r="Y33" s="17">
        <f t="shared" si="1"/>
        <v>6.7395465533939936E-2</v>
      </c>
      <c r="Z33" s="1">
        <f t="shared" si="2"/>
        <v>7.8838680239771614E-2</v>
      </c>
      <c r="AA33" s="17">
        <f t="shared" si="3"/>
        <v>6.2155375019489548E-3</v>
      </c>
    </row>
    <row r="34" spans="1:27" s="13" customFormat="1" ht="13" customHeight="1">
      <c r="A34" s="2">
        <v>45528</v>
      </c>
      <c r="B34" s="13">
        <v>0</v>
      </c>
      <c r="C34" s="13">
        <v>0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4">
        <v>2765.48</v>
      </c>
      <c r="M34" s="4">
        <v>2820.02</v>
      </c>
      <c r="N34" s="4">
        <v>2737.78</v>
      </c>
      <c r="O34" s="4">
        <v>2769.39</v>
      </c>
      <c r="P34" s="4">
        <v>2769.39</v>
      </c>
      <c r="Q34" s="5">
        <v>11765811307</v>
      </c>
      <c r="R34" s="7">
        <v>2622.92</v>
      </c>
      <c r="S34" s="7">
        <v>2799.33</v>
      </c>
      <c r="T34" s="7">
        <v>2622.58</v>
      </c>
      <c r="U34" s="7">
        <v>2764.45</v>
      </c>
      <c r="V34" s="7">
        <v>2764.45</v>
      </c>
      <c r="W34" s="8">
        <v>16857181970</v>
      </c>
      <c r="X34" s="16">
        <f t="shared" si="0"/>
        <v>197.44000000000005</v>
      </c>
      <c r="Y34" s="17">
        <f t="shared" si="1"/>
        <v>3.0038936656707094E-2</v>
      </c>
      <c r="Z34" s="1">
        <f t="shared" si="2"/>
        <v>7.2585411057325952E-2</v>
      </c>
      <c r="AA34" s="17">
        <f t="shared" si="3"/>
        <v>5.2686418983609769E-3</v>
      </c>
    </row>
    <row r="35" spans="1:27" s="13" customFormat="1">
      <c r="A35" s="2">
        <v>45529</v>
      </c>
      <c r="B35" s="13">
        <v>0</v>
      </c>
      <c r="C35" s="13">
        <v>0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4">
        <v>2769.1</v>
      </c>
      <c r="M35" s="4">
        <v>2793.01</v>
      </c>
      <c r="N35" s="4">
        <v>2736.09</v>
      </c>
      <c r="O35" s="4">
        <v>2749.16</v>
      </c>
      <c r="P35" s="4">
        <v>2749.16</v>
      </c>
      <c r="Q35" s="5">
        <v>9375535539</v>
      </c>
      <c r="R35" s="4">
        <v>2765.48</v>
      </c>
      <c r="S35" s="4">
        <v>2820.02</v>
      </c>
      <c r="T35" s="4">
        <v>2737.78</v>
      </c>
      <c r="U35" s="4">
        <v>2769.39</v>
      </c>
      <c r="V35" s="4">
        <v>2769.39</v>
      </c>
      <c r="W35" s="5">
        <v>11765811307</v>
      </c>
      <c r="X35" s="16">
        <f t="shared" si="0"/>
        <v>55.230000000000018</v>
      </c>
      <c r="Y35" s="17">
        <f t="shared" si="1"/>
        <v>2.0803409244579019E-2</v>
      </c>
      <c r="Z35" s="1">
        <f t="shared" si="2"/>
        <v>1.9972494319068421E-2</v>
      </c>
      <c r="AA35" s="17">
        <f t="shared" si="3"/>
        <v>3.9890052932522037E-4</v>
      </c>
    </row>
    <row r="36" spans="1:27" s="12" customFormat="1">
      <c r="A36" s="2">
        <v>45530</v>
      </c>
      <c r="B36" s="12">
        <v>0</v>
      </c>
      <c r="C36" s="12">
        <v>-2.7</v>
      </c>
      <c r="D36" s="12">
        <v>0</v>
      </c>
      <c r="E36" s="12">
        <v>0</v>
      </c>
      <c r="F36" s="12">
        <v>0</v>
      </c>
      <c r="G36" s="12">
        <v>0</v>
      </c>
      <c r="H36" s="12">
        <v>-1</v>
      </c>
      <c r="I36" s="12">
        <v>-9.5</v>
      </c>
      <c r="J36" s="12">
        <v>0</v>
      </c>
      <c r="K36" s="12">
        <v>-13.2</v>
      </c>
      <c r="L36" s="14">
        <v>2749.25</v>
      </c>
      <c r="M36" s="14">
        <v>2763</v>
      </c>
      <c r="N36" s="14">
        <v>2668.89</v>
      </c>
      <c r="O36" s="14">
        <v>2681.34</v>
      </c>
      <c r="P36" s="14">
        <v>2681.34</v>
      </c>
      <c r="Q36" s="15">
        <v>12282035835</v>
      </c>
      <c r="R36" s="4">
        <v>2769.1</v>
      </c>
      <c r="S36" s="4">
        <v>2793.01</v>
      </c>
      <c r="T36" s="4">
        <v>2736.09</v>
      </c>
      <c r="U36" s="4">
        <v>2749.16</v>
      </c>
      <c r="V36" s="4">
        <v>2749.16</v>
      </c>
      <c r="W36" s="5">
        <v>9375535539</v>
      </c>
      <c r="X36" s="16">
        <f t="shared" si="0"/>
        <v>26.909999999999854</v>
      </c>
      <c r="Y36" s="17">
        <f t="shared" si="1"/>
        <v>3.5261850432202202E-2</v>
      </c>
      <c r="Z36" s="1">
        <f t="shared" si="2"/>
        <v>9.7871519851531856E-3</v>
      </c>
      <c r="AA36" s="17">
        <f t="shared" si="3"/>
        <v>9.5788343980487945E-5</v>
      </c>
    </row>
    <row r="37" spans="1:27">
      <c r="A37" s="2">
        <v>45531</v>
      </c>
      <c r="B37" s="1">
        <v>0</v>
      </c>
      <c r="C37" s="1">
        <v>3.9</v>
      </c>
      <c r="D37" s="1">
        <v>1.9</v>
      </c>
      <c r="E37" s="1">
        <v>0</v>
      </c>
      <c r="F37" s="1">
        <v>0</v>
      </c>
      <c r="G37" s="1">
        <v>0</v>
      </c>
      <c r="H37" s="1">
        <v>0</v>
      </c>
      <c r="I37" s="1">
        <v>-9.1999999999999993</v>
      </c>
      <c r="J37" s="1">
        <v>0</v>
      </c>
      <c r="K37" s="1">
        <v>-3.4</v>
      </c>
      <c r="L37" s="4">
        <v>2681.62</v>
      </c>
      <c r="M37" s="4">
        <v>2700.15</v>
      </c>
      <c r="N37" s="4">
        <v>2401.1799999999998</v>
      </c>
      <c r="O37" s="4">
        <v>2458.73</v>
      </c>
      <c r="P37" s="4">
        <v>2458.73</v>
      </c>
      <c r="Q37" s="5">
        <v>18028996056</v>
      </c>
      <c r="R37" s="14">
        <v>2749.25</v>
      </c>
      <c r="S37" s="14">
        <v>2763</v>
      </c>
      <c r="T37" s="14">
        <v>2668.89</v>
      </c>
      <c r="U37" s="14">
        <v>2681.34</v>
      </c>
      <c r="V37" s="14">
        <v>2681.34</v>
      </c>
      <c r="W37" s="15">
        <v>12282035835</v>
      </c>
      <c r="X37" s="16">
        <f t="shared" si="0"/>
        <v>31.260000000000218</v>
      </c>
      <c r="Y37" s="17">
        <f t="shared" si="1"/>
        <v>0.12450961610541489</v>
      </c>
      <c r="Z37" s="1">
        <f t="shared" si="2"/>
        <v>1.1644671387421403E-2</v>
      </c>
      <c r="AA37" s="17">
        <f t="shared" si="3"/>
        <v>1.355983717210307E-4</v>
      </c>
    </row>
    <row r="38" spans="1:27" s="9" customFormat="1">
      <c r="A38" s="2">
        <v>45532</v>
      </c>
      <c r="B38" s="9">
        <v>8.4</v>
      </c>
      <c r="C38" s="9">
        <v>1.3</v>
      </c>
      <c r="D38" s="9">
        <v>0</v>
      </c>
      <c r="E38" s="9">
        <v>0</v>
      </c>
      <c r="F38" s="9">
        <v>0</v>
      </c>
      <c r="G38" s="9">
        <v>0</v>
      </c>
      <c r="H38" s="9">
        <v>0</v>
      </c>
      <c r="I38" s="9">
        <v>-3.8</v>
      </c>
      <c r="J38" s="9">
        <v>0</v>
      </c>
      <c r="K38" s="9">
        <v>5.9</v>
      </c>
      <c r="L38" s="4">
        <v>2458.9</v>
      </c>
      <c r="M38" s="4">
        <v>2553.8200000000002</v>
      </c>
      <c r="N38" s="4">
        <v>2422.29</v>
      </c>
      <c r="O38" s="4">
        <v>2528.42</v>
      </c>
      <c r="P38" s="4">
        <v>2528.42</v>
      </c>
      <c r="Q38" s="5">
        <v>20359545410</v>
      </c>
      <c r="R38" s="4">
        <v>2681.62</v>
      </c>
      <c r="S38" s="4">
        <v>2700.15</v>
      </c>
      <c r="T38" s="4">
        <v>2401.1799999999998</v>
      </c>
      <c r="U38" s="4">
        <v>2458.73</v>
      </c>
      <c r="V38" s="4">
        <v>2458.73</v>
      </c>
      <c r="W38" s="5">
        <v>18028996056</v>
      </c>
      <c r="X38" s="16">
        <f t="shared" si="0"/>
        <v>152.64000000000033</v>
      </c>
      <c r="Y38" s="17">
        <f t="shared" si="1"/>
        <v>5.4299856747127784E-2</v>
      </c>
      <c r="Z38" s="1">
        <f t="shared" si="2"/>
        <v>6.1629994252497475E-2</v>
      </c>
      <c r="AA38" s="17">
        <f t="shared" si="3"/>
        <v>3.7982561915628718E-3</v>
      </c>
    </row>
    <row r="39" spans="1:27">
      <c r="A39" s="2">
        <v>45533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-5.3</v>
      </c>
      <c r="J39" s="1">
        <v>3.6</v>
      </c>
      <c r="K39" s="1">
        <v>-1.7</v>
      </c>
      <c r="L39" s="4">
        <v>2528.36</v>
      </c>
      <c r="M39" s="4">
        <v>2595.98</v>
      </c>
      <c r="N39" s="4">
        <v>2507.5</v>
      </c>
      <c r="O39" s="4">
        <v>2528.79</v>
      </c>
      <c r="P39" s="4">
        <v>2528.79</v>
      </c>
      <c r="Q39" s="5">
        <v>13946434277</v>
      </c>
      <c r="R39" s="4">
        <v>2458.9</v>
      </c>
      <c r="S39" s="4">
        <v>2553.8200000000002</v>
      </c>
      <c r="T39" s="4">
        <v>2422.29</v>
      </c>
      <c r="U39" s="4">
        <v>2528.42</v>
      </c>
      <c r="V39" s="4">
        <v>2528.42</v>
      </c>
      <c r="W39" s="5">
        <v>20359545410</v>
      </c>
      <c r="X39" s="16">
        <f t="shared" si="0"/>
        <v>173.69000000000005</v>
      </c>
      <c r="Y39" s="17">
        <f t="shared" si="1"/>
        <v>3.5286141575274099E-2</v>
      </c>
      <c r="Z39" s="1">
        <f t="shared" si="2"/>
        <v>6.925072093319877E-2</v>
      </c>
      <c r="AA39" s="17">
        <f t="shared" si="3"/>
        <v>4.7956623497677747E-3</v>
      </c>
    </row>
    <row r="40" spans="1:27" s="6" customFormat="1">
      <c r="A40" s="2">
        <v>45534</v>
      </c>
      <c r="B40" s="6">
        <v>0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7">
        <v>2528.73</v>
      </c>
      <c r="M40" s="7">
        <v>2539.92</v>
      </c>
      <c r="N40" s="7">
        <v>2432.83</v>
      </c>
      <c r="O40" s="7">
        <v>2525.8200000000002</v>
      </c>
      <c r="P40" s="7">
        <v>2525.8200000000002</v>
      </c>
      <c r="Q40" s="8">
        <v>15526218255</v>
      </c>
      <c r="R40" s="4">
        <v>2528.36</v>
      </c>
      <c r="S40" s="4">
        <v>2595.98</v>
      </c>
      <c r="T40" s="4">
        <v>2507.5</v>
      </c>
      <c r="U40" s="4">
        <v>2528.79</v>
      </c>
      <c r="V40" s="4">
        <v>2528.79</v>
      </c>
      <c r="W40" s="5">
        <v>13946434277</v>
      </c>
      <c r="X40" s="16">
        <f t="shared" si="0"/>
        <v>32.420000000000073</v>
      </c>
      <c r="Y40" s="17">
        <f t="shared" si="1"/>
        <v>4.401869427785754E-2</v>
      </c>
      <c r="Z40" s="1">
        <f t="shared" si="2"/>
        <v>1.2846343617488097E-2</v>
      </c>
      <c r="AA40" s="17">
        <f t="shared" si="3"/>
        <v>1.6502854433857715E-4</v>
      </c>
    </row>
    <row r="41" spans="1:27" s="13" customFormat="1" ht="13" customHeight="1">
      <c r="A41" s="2">
        <v>45535</v>
      </c>
      <c r="B41" s="13">
        <v>0</v>
      </c>
      <c r="C41" s="13">
        <v>0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4">
        <v>2525.86</v>
      </c>
      <c r="M41" s="4">
        <v>2532.39</v>
      </c>
      <c r="N41" s="4">
        <v>2493.71</v>
      </c>
      <c r="O41" s="4">
        <v>2513.39</v>
      </c>
      <c r="P41" s="4">
        <v>2513.39</v>
      </c>
      <c r="Q41" s="5">
        <v>6646876013</v>
      </c>
      <c r="R41" s="7">
        <v>2528.73</v>
      </c>
      <c r="S41" s="7">
        <v>2539.92</v>
      </c>
      <c r="T41" s="7">
        <v>2432.83</v>
      </c>
      <c r="U41" s="7">
        <v>2525.8200000000002</v>
      </c>
      <c r="V41" s="7">
        <v>2525.8200000000002</v>
      </c>
      <c r="W41" s="8">
        <v>15526218255</v>
      </c>
      <c r="X41" s="16">
        <f t="shared" si="0"/>
        <v>99.559999999999945</v>
      </c>
      <c r="Y41" s="17">
        <f t="shared" si="1"/>
        <v>1.5511025740763795E-2</v>
      </c>
      <c r="Z41" s="1">
        <f t="shared" si="2"/>
        <v>4.0108332081889991E-2</v>
      </c>
      <c r="AA41" s="17">
        <f t="shared" si="3"/>
        <v>1.608678302391166E-3</v>
      </c>
    </row>
    <row r="42" spans="1:27" s="13" customFormat="1">
      <c r="A42" s="2">
        <v>45536</v>
      </c>
      <c r="B42" s="13">
        <v>0</v>
      </c>
      <c r="C42" s="13">
        <v>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4">
        <v>2513.42</v>
      </c>
      <c r="M42" s="4">
        <v>2515.4699999999998</v>
      </c>
      <c r="N42" s="4">
        <v>2401.89</v>
      </c>
      <c r="O42" s="4">
        <v>2427.9</v>
      </c>
      <c r="P42" s="4">
        <v>2427.9</v>
      </c>
      <c r="Q42" s="5">
        <v>11800443265</v>
      </c>
      <c r="R42" s="4">
        <v>2525.86</v>
      </c>
      <c r="S42" s="4">
        <v>2532.39</v>
      </c>
      <c r="T42" s="4">
        <v>2493.71</v>
      </c>
      <c r="U42" s="4">
        <v>2513.39</v>
      </c>
      <c r="V42" s="4">
        <v>2513.39</v>
      </c>
      <c r="W42" s="5">
        <v>6646876013</v>
      </c>
      <c r="X42" s="16">
        <f t="shared" si="0"/>
        <v>21.759999999999764</v>
      </c>
      <c r="Y42" s="17">
        <f t="shared" si="1"/>
        <v>4.7287760888300445E-2</v>
      </c>
      <c r="Z42" s="1">
        <f t="shared" si="2"/>
        <v>8.6881033925402217E-3</v>
      </c>
      <c r="AA42" s="17">
        <f t="shared" si="3"/>
        <v>7.5483140559468912E-5</v>
      </c>
    </row>
    <row r="43" spans="1:27">
      <c r="A43" s="2">
        <v>45537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4">
        <v>2427.9699999999998</v>
      </c>
      <c r="M43" s="4">
        <v>2563.09</v>
      </c>
      <c r="N43" s="4">
        <v>2426.1</v>
      </c>
      <c r="O43" s="4">
        <v>2538.19</v>
      </c>
      <c r="P43" s="4">
        <v>2538.19</v>
      </c>
      <c r="Q43" s="5">
        <v>12520444224</v>
      </c>
      <c r="R43" s="4">
        <v>2513.42</v>
      </c>
      <c r="S43" s="4">
        <v>2515.4699999999998</v>
      </c>
      <c r="T43" s="4">
        <v>2401.89</v>
      </c>
      <c r="U43" s="4">
        <v>2427.9</v>
      </c>
      <c r="V43" s="4">
        <v>2427.9</v>
      </c>
      <c r="W43" s="5">
        <v>11800443265</v>
      </c>
      <c r="X43" s="16">
        <f t="shared" si="0"/>
        <v>161.20000000000027</v>
      </c>
      <c r="Y43" s="17">
        <f t="shared" si="1"/>
        <v>5.6465108610527226E-2</v>
      </c>
      <c r="Z43" s="1">
        <f t="shared" si="2"/>
        <v>6.4957634426436442E-2</v>
      </c>
      <c r="AA43" s="17">
        <f t="shared" si="3"/>
        <v>4.2194942702785607E-3</v>
      </c>
    </row>
    <row r="44" spans="1:27">
      <c r="A44" s="2">
        <v>45538</v>
      </c>
      <c r="B44" s="1">
        <v>0</v>
      </c>
      <c r="C44" s="1">
        <v>4.9000000000000004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-52.3</v>
      </c>
      <c r="J44" s="1">
        <v>0</v>
      </c>
      <c r="K44" s="1">
        <v>-47.4</v>
      </c>
      <c r="L44" s="4">
        <v>2538.16</v>
      </c>
      <c r="M44" s="4">
        <v>2552.8000000000002</v>
      </c>
      <c r="N44" s="4">
        <v>2419.88</v>
      </c>
      <c r="O44" s="4">
        <v>2420.6</v>
      </c>
      <c r="P44" s="4">
        <v>2420.6</v>
      </c>
      <c r="Q44" s="5">
        <v>11406800197</v>
      </c>
      <c r="R44" s="4">
        <v>2427.9699999999998</v>
      </c>
      <c r="S44" s="4">
        <v>2563.09</v>
      </c>
      <c r="T44" s="4">
        <v>2426.1</v>
      </c>
      <c r="U44" s="4">
        <v>2538.19</v>
      </c>
      <c r="V44" s="4">
        <v>2538.19</v>
      </c>
      <c r="W44" s="5">
        <v>12520444224</v>
      </c>
      <c r="X44" s="16">
        <f t="shared" si="0"/>
        <v>126.70000000000027</v>
      </c>
      <c r="Y44" s="17">
        <f t="shared" si="1"/>
        <v>5.4928343554225822E-2</v>
      </c>
      <c r="Z44" s="1">
        <f t="shared" si="2"/>
        <v>5.0905766194147786E-2</v>
      </c>
      <c r="AA44" s="17">
        <f t="shared" si="3"/>
        <v>2.5913970318132396E-3</v>
      </c>
    </row>
    <row r="45" spans="1:27">
      <c r="A45" s="2">
        <v>45539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-40.6</v>
      </c>
      <c r="J45" s="1">
        <v>3.1</v>
      </c>
      <c r="K45" s="1">
        <v>-37.5</v>
      </c>
      <c r="L45" s="4">
        <v>2420.19</v>
      </c>
      <c r="M45" s="4">
        <v>2488.92</v>
      </c>
      <c r="N45" s="4">
        <v>2313.27</v>
      </c>
      <c r="O45" s="4">
        <v>2448.98</v>
      </c>
      <c r="P45" s="4">
        <v>2448.98</v>
      </c>
      <c r="Q45" s="5">
        <v>16709600747</v>
      </c>
      <c r="R45" s="4">
        <v>2538.16</v>
      </c>
      <c r="S45" s="4">
        <v>2552.8000000000002</v>
      </c>
      <c r="T45" s="4">
        <v>2419.88</v>
      </c>
      <c r="U45" s="4">
        <v>2420.6</v>
      </c>
      <c r="V45" s="4">
        <v>2420.6</v>
      </c>
      <c r="W45" s="5">
        <v>11406800197</v>
      </c>
      <c r="X45" s="16">
        <f t="shared" si="0"/>
        <v>69.039999999999964</v>
      </c>
      <c r="Y45" s="17">
        <f t="shared" si="1"/>
        <v>7.5931473628240598E-2</v>
      </c>
      <c r="Z45" s="1">
        <f t="shared" si="2"/>
        <v>2.8130929284379803E-2</v>
      </c>
      <c r="AA45" s="17">
        <f t="shared" si="3"/>
        <v>7.9134918240277724E-4</v>
      </c>
    </row>
    <row r="46" spans="1:27">
      <c r="A46" s="2">
        <v>45540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-7.4</v>
      </c>
      <c r="J46" s="1">
        <v>7.2</v>
      </c>
      <c r="K46" s="1">
        <v>-0.2</v>
      </c>
      <c r="L46" s="4">
        <v>2448.9899999999998</v>
      </c>
      <c r="M46" s="4">
        <v>2465.39</v>
      </c>
      <c r="N46" s="4">
        <v>2348.86</v>
      </c>
      <c r="O46" s="4">
        <v>2367.7399999999998</v>
      </c>
      <c r="P46" s="4">
        <v>2367.7399999999998</v>
      </c>
      <c r="Q46" s="5">
        <v>13632325040</v>
      </c>
      <c r="R46" s="4">
        <v>2420.19</v>
      </c>
      <c r="S46" s="4">
        <v>2488.92</v>
      </c>
      <c r="T46" s="4">
        <v>2313.27</v>
      </c>
      <c r="U46" s="4">
        <v>2448.98</v>
      </c>
      <c r="V46" s="4">
        <v>2448.98</v>
      </c>
      <c r="W46" s="5">
        <v>16709600747</v>
      </c>
      <c r="X46" s="16">
        <f t="shared" si="0"/>
        <v>152.11999999999989</v>
      </c>
      <c r="Y46" s="17">
        <f t="shared" si="1"/>
        <v>4.9611300801239544E-2</v>
      </c>
      <c r="Z46" s="1">
        <f t="shared" si="2"/>
        <v>6.3687902035902327E-2</v>
      </c>
      <c r="AA46" s="17">
        <f t="shared" si="3"/>
        <v>4.0561488657346921E-3</v>
      </c>
    </row>
    <row r="47" spans="1:27" s="6" customFormat="1">
      <c r="A47" s="2">
        <v>45541</v>
      </c>
      <c r="B47" s="6">
        <v>4.7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-10.7</v>
      </c>
      <c r="J47" s="6">
        <v>0</v>
      </c>
      <c r="K47" s="6">
        <v>-6</v>
      </c>
      <c r="L47" s="7">
        <v>2367.6999999999998</v>
      </c>
      <c r="M47" s="7">
        <v>2406.5100000000002</v>
      </c>
      <c r="N47" s="7">
        <v>2150.86</v>
      </c>
      <c r="O47" s="7">
        <v>2223.88</v>
      </c>
      <c r="P47" s="7">
        <v>2223.88</v>
      </c>
      <c r="Q47" s="8">
        <v>25825618367</v>
      </c>
      <c r="R47" s="4">
        <v>2448.9899999999998</v>
      </c>
      <c r="S47" s="4">
        <v>2465.39</v>
      </c>
      <c r="T47" s="4">
        <v>2348.86</v>
      </c>
      <c r="U47" s="4">
        <v>2367.7399999999998</v>
      </c>
      <c r="V47" s="4">
        <v>2367.7399999999998</v>
      </c>
      <c r="W47" s="5">
        <v>13632325040</v>
      </c>
      <c r="X47" s="16">
        <f t="shared" si="0"/>
        <v>57.650000000000091</v>
      </c>
      <c r="Y47" s="17">
        <f t="shared" si="1"/>
        <v>0.11885943297099777</v>
      </c>
      <c r="Z47" s="1">
        <f t="shared" si="2"/>
        <v>2.424746109389754E-2</v>
      </c>
      <c r="AA47" s="17">
        <f t="shared" si="3"/>
        <v>5.8793936950007496E-4</v>
      </c>
    </row>
    <row r="48" spans="1:27" s="13" customFormat="1" ht="13" customHeight="1">
      <c r="A48" s="2">
        <v>45542</v>
      </c>
      <c r="B48" s="13">
        <v>0</v>
      </c>
      <c r="C48" s="13">
        <v>0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4">
        <v>2223.9299999999998</v>
      </c>
      <c r="M48" s="4">
        <v>2310.19</v>
      </c>
      <c r="N48" s="4">
        <v>2222.1</v>
      </c>
      <c r="O48" s="4">
        <v>2274.11</v>
      </c>
      <c r="P48" s="4">
        <v>2274.11</v>
      </c>
      <c r="Q48" s="5">
        <v>11124608320</v>
      </c>
      <c r="R48" s="7">
        <v>2367.6999999999998</v>
      </c>
      <c r="S48" s="7">
        <v>2406.5100000000002</v>
      </c>
      <c r="T48" s="7">
        <v>2150.86</v>
      </c>
      <c r="U48" s="7">
        <v>2223.88</v>
      </c>
      <c r="V48" s="7">
        <v>2223.88</v>
      </c>
      <c r="W48" s="8">
        <v>25825618367</v>
      </c>
      <c r="X48" s="16">
        <f t="shared" si="0"/>
        <v>159.32999999999993</v>
      </c>
      <c r="Y48" s="17">
        <f t="shared" si="1"/>
        <v>3.9642680347419246E-2</v>
      </c>
      <c r="Z48" s="1">
        <f t="shared" si="2"/>
        <v>7.1462010072620069E-2</v>
      </c>
      <c r="AA48" s="17">
        <f t="shared" si="3"/>
        <v>5.1068188836192524E-3</v>
      </c>
    </row>
    <row r="49" spans="1:27" s="13" customFormat="1">
      <c r="A49" s="2">
        <v>45543</v>
      </c>
      <c r="B49" s="13">
        <v>0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4">
        <v>2274.44</v>
      </c>
      <c r="M49" s="4">
        <v>2332.36</v>
      </c>
      <c r="N49" s="4">
        <v>2243.91</v>
      </c>
      <c r="O49" s="4">
        <v>2297.29</v>
      </c>
      <c r="P49" s="4">
        <v>2297.29</v>
      </c>
      <c r="Q49" s="5">
        <v>10718443487</v>
      </c>
      <c r="R49" s="4">
        <v>2223.9299999999998</v>
      </c>
      <c r="S49" s="4">
        <v>2310.19</v>
      </c>
      <c r="T49" s="4">
        <v>2222.1</v>
      </c>
      <c r="U49" s="4">
        <v>2274.11</v>
      </c>
      <c r="V49" s="4">
        <v>2274.11</v>
      </c>
      <c r="W49" s="5">
        <v>11124608320</v>
      </c>
      <c r="X49" s="16">
        <f t="shared" si="0"/>
        <v>110.26000000000022</v>
      </c>
      <c r="Y49" s="17">
        <f t="shared" si="1"/>
        <v>3.9417801961754373E-2</v>
      </c>
      <c r="Z49" s="1">
        <f t="shared" si="2"/>
        <v>4.8427935796560004E-2</v>
      </c>
      <c r="AA49" s="17">
        <f t="shared" si="3"/>
        <v>2.3452649655157378E-3</v>
      </c>
    </row>
    <row r="50" spans="1:27">
      <c r="A50" s="2">
        <v>45544</v>
      </c>
      <c r="B50" s="1">
        <v>0</v>
      </c>
      <c r="C50" s="1">
        <v>7.6</v>
      </c>
      <c r="D50" s="1">
        <v>1.8</v>
      </c>
      <c r="E50" s="1">
        <v>0</v>
      </c>
      <c r="F50" s="1">
        <v>0</v>
      </c>
      <c r="G50" s="1">
        <v>0</v>
      </c>
      <c r="H50" s="1">
        <v>0</v>
      </c>
      <c r="I50" s="1">
        <v>-22.6</v>
      </c>
      <c r="J50" s="1">
        <v>8</v>
      </c>
      <c r="K50" s="1">
        <v>-5.2</v>
      </c>
      <c r="L50" s="4">
        <v>2297.9</v>
      </c>
      <c r="M50" s="4">
        <v>2379.79</v>
      </c>
      <c r="N50" s="4">
        <v>2274.12</v>
      </c>
      <c r="O50" s="4">
        <v>2358.48</v>
      </c>
      <c r="P50" s="4">
        <v>2358.48</v>
      </c>
      <c r="Q50" s="5">
        <v>15887712451</v>
      </c>
      <c r="R50" s="4">
        <v>2274.44</v>
      </c>
      <c r="S50" s="4">
        <v>2332.36</v>
      </c>
      <c r="T50" s="4">
        <v>2243.91</v>
      </c>
      <c r="U50" s="4">
        <v>2297.29</v>
      </c>
      <c r="V50" s="4">
        <v>2297.29</v>
      </c>
      <c r="W50" s="5">
        <v>10718443487</v>
      </c>
      <c r="X50" s="16">
        <f t="shared" si="0"/>
        <v>135.88000000000011</v>
      </c>
      <c r="Y50" s="17">
        <f t="shared" si="1"/>
        <v>4.6466325435772893E-2</v>
      </c>
      <c r="Z50" s="1">
        <f t="shared" si="2"/>
        <v>5.8792368592030228E-2</v>
      </c>
      <c r="AA50" s="17">
        <f t="shared" si="3"/>
        <v>3.4565426046611423E-3</v>
      </c>
    </row>
    <row r="51" spans="1:27">
      <c r="A51" s="2">
        <v>45545</v>
      </c>
      <c r="B51" s="1">
        <v>4.3</v>
      </c>
      <c r="C51" s="1">
        <v>7.1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11.4</v>
      </c>
      <c r="L51" s="4">
        <v>2358.5</v>
      </c>
      <c r="M51" s="4">
        <v>2398.5</v>
      </c>
      <c r="N51" s="4">
        <v>2323.0700000000002</v>
      </c>
      <c r="O51" s="4">
        <v>2389.58</v>
      </c>
      <c r="P51" s="4">
        <v>2389.58</v>
      </c>
      <c r="Q51" s="5">
        <v>12795818970</v>
      </c>
      <c r="R51" s="4">
        <v>2297.9</v>
      </c>
      <c r="S51" s="4">
        <v>2379.79</v>
      </c>
      <c r="T51" s="4">
        <v>2274.12</v>
      </c>
      <c r="U51" s="4">
        <v>2358.48</v>
      </c>
      <c r="V51" s="4">
        <v>2358.48</v>
      </c>
      <c r="W51" s="5">
        <v>15887712451</v>
      </c>
      <c r="X51" s="16">
        <f t="shared" si="0"/>
        <v>124.38000000000011</v>
      </c>
      <c r="Y51" s="17">
        <f t="shared" si="1"/>
        <v>3.2469964314463029E-2</v>
      </c>
      <c r="Z51" s="1">
        <f t="shared" si="2"/>
        <v>5.3250377575399674E-2</v>
      </c>
      <c r="AA51" s="17">
        <f t="shared" si="3"/>
        <v>2.8356027119226285E-3</v>
      </c>
    </row>
    <row r="52" spans="1:27">
      <c r="A52" s="2">
        <v>45546</v>
      </c>
      <c r="B52" s="1">
        <v>0</v>
      </c>
      <c r="C52" s="1">
        <v>1.2</v>
      </c>
      <c r="D52" s="1">
        <v>0</v>
      </c>
      <c r="E52" s="1">
        <v>0</v>
      </c>
      <c r="F52" s="1">
        <v>-1.7</v>
      </c>
      <c r="G52" s="1">
        <v>0</v>
      </c>
      <c r="H52" s="1">
        <v>0</v>
      </c>
      <c r="I52" s="1">
        <v>0</v>
      </c>
      <c r="J52" s="1">
        <v>0</v>
      </c>
      <c r="K52" s="1">
        <v>-0.5</v>
      </c>
      <c r="L52" s="4">
        <v>2389.6</v>
      </c>
      <c r="M52" s="4">
        <v>2389.7199999999998</v>
      </c>
      <c r="N52" s="4">
        <v>2279.0500000000002</v>
      </c>
      <c r="O52" s="4">
        <v>2339.84</v>
      </c>
      <c r="P52" s="4">
        <v>2339.84</v>
      </c>
      <c r="Q52" s="5">
        <v>15355180967</v>
      </c>
      <c r="R52" s="4">
        <v>2358.5</v>
      </c>
      <c r="S52" s="4">
        <v>2398.5</v>
      </c>
      <c r="T52" s="4">
        <v>2323.0700000000002</v>
      </c>
      <c r="U52" s="4">
        <v>2389.58</v>
      </c>
      <c r="V52" s="4">
        <v>2389.58</v>
      </c>
      <c r="W52" s="5">
        <v>12795818970</v>
      </c>
      <c r="X52" s="16">
        <f t="shared" si="0"/>
        <v>66.649999999999636</v>
      </c>
      <c r="Y52" s="17">
        <f t="shared" si="1"/>
        <v>4.8559706895416888E-2</v>
      </c>
      <c r="Z52" s="1">
        <f t="shared" si="2"/>
        <v>2.8286617486146345E-2</v>
      </c>
      <c r="AA52" s="17">
        <f t="shared" si="3"/>
        <v>8.0013272880756015E-4</v>
      </c>
    </row>
    <row r="53" spans="1:27">
      <c r="A53" s="2">
        <v>45547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-20.100000000000001</v>
      </c>
      <c r="J53" s="1">
        <v>0</v>
      </c>
      <c r="K53" s="1">
        <v>-20.100000000000001</v>
      </c>
      <c r="L53" s="4">
        <v>2339.84</v>
      </c>
      <c r="M53" s="4">
        <v>2390.19</v>
      </c>
      <c r="N53" s="4">
        <v>2316.16</v>
      </c>
      <c r="O53" s="4">
        <v>2361.7800000000002</v>
      </c>
      <c r="P53" s="4">
        <v>2361.7800000000002</v>
      </c>
      <c r="Q53" s="5">
        <v>12162634681</v>
      </c>
      <c r="R53" s="4">
        <v>2389.6</v>
      </c>
      <c r="S53" s="4">
        <v>2389.7199999999998</v>
      </c>
      <c r="T53" s="4">
        <v>2279.0500000000002</v>
      </c>
      <c r="U53" s="4">
        <v>2339.84</v>
      </c>
      <c r="V53" s="4">
        <v>2339.84</v>
      </c>
      <c r="W53" s="5">
        <v>15355180967</v>
      </c>
      <c r="X53" s="16">
        <f t="shared" si="0"/>
        <v>111.13999999999987</v>
      </c>
      <c r="Y53" s="17">
        <f t="shared" si="1"/>
        <v>3.1962386018237199E-2</v>
      </c>
      <c r="Z53" s="1">
        <f t="shared" si="2"/>
        <v>4.7614171221570793E-2</v>
      </c>
      <c r="AA53" s="17">
        <f t="shared" si="3"/>
        <v>2.2671093011170603E-3</v>
      </c>
    </row>
    <row r="54" spans="1:27">
      <c r="A54" s="2">
        <v>45548</v>
      </c>
      <c r="B54" s="1">
        <v>3.7</v>
      </c>
      <c r="C54" s="1">
        <v>0</v>
      </c>
      <c r="D54" s="1">
        <v>5.2</v>
      </c>
      <c r="E54" s="1">
        <v>0</v>
      </c>
      <c r="F54" s="1">
        <v>0</v>
      </c>
      <c r="G54" s="1">
        <v>0</v>
      </c>
      <c r="H54" s="1">
        <v>0</v>
      </c>
      <c r="I54" s="1">
        <v>-7.4</v>
      </c>
      <c r="J54" s="1">
        <v>0</v>
      </c>
      <c r="K54" s="1">
        <v>1.5</v>
      </c>
      <c r="L54" s="4">
        <v>2361.7399999999998</v>
      </c>
      <c r="M54" s="4">
        <v>2462.8000000000002</v>
      </c>
      <c r="N54" s="4">
        <v>2338.14</v>
      </c>
      <c r="O54" s="4">
        <v>2441.61</v>
      </c>
      <c r="P54" s="4">
        <v>2441.61</v>
      </c>
      <c r="Q54" s="5">
        <v>13759640866</v>
      </c>
      <c r="R54" s="4">
        <v>2339.84</v>
      </c>
      <c r="S54" s="4">
        <v>2390.19</v>
      </c>
      <c r="T54" s="4">
        <v>2316.16</v>
      </c>
      <c r="U54" s="4">
        <v>2361.7800000000002</v>
      </c>
      <c r="V54" s="4">
        <v>2361.7800000000002</v>
      </c>
      <c r="W54" s="5">
        <v>12162634681</v>
      </c>
      <c r="X54" s="16">
        <f t="shared" si="0"/>
        <v>146.64000000000033</v>
      </c>
      <c r="Y54" s="17">
        <f t="shared" si="1"/>
        <v>5.3315883565569377E-2</v>
      </c>
      <c r="Z54" s="1">
        <f t="shared" si="2"/>
        <v>6.1388272101732255E-2</v>
      </c>
      <c r="AA54" s="17">
        <f t="shared" si="3"/>
        <v>3.7685199516363189E-3</v>
      </c>
    </row>
    <row r="57" spans="1:27">
      <c r="X57" s="1">
        <f>SQRT(365)</f>
        <v>19.104973174542799</v>
      </c>
      <c r="Y57" s="17">
        <f>_xlfn.STDEV.S(Y2:Y54)</f>
        <v>4.1893138237576573E-2</v>
      </c>
      <c r="AA57" s="17">
        <f>SUM(AA2:AA56)</f>
        <v>0.19105727732012137</v>
      </c>
    </row>
    <row r="60" spans="1:27">
      <c r="K60" s="20" t="s">
        <v>27</v>
      </c>
      <c r="X60" s="19">
        <v>0.8</v>
      </c>
      <c r="Y60" s="17">
        <f>(X57*Y57)</f>
        <v>0.80036728222631359</v>
      </c>
      <c r="AA60" s="17">
        <f>(AA57/53)</f>
        <v>3.6048542890588938E-3</v>
      </c>
    </row>
    <row r="61" spans="1:27">
      <c r="K61" s="21" t="s">
        <v>28</v>
      </c>
    </row>
    <row r="62" spans="1:27" ht="184">
      <c r="K62" s="21" t="s">
        <v>29</v>
      </c>
    </row>
    <row r="63" spans="1:27">
      <c r="AA63" s="17">
        <f>(AA60*365)^0.5</f>
        <v>1.1470709723057664</v>
      </c>
    </row>
    <row r="64" spans="1:27">
      <c r="K64" t="s">
        <v>30</v>
      </c>
    </row>
    <row r="65" spans="11:27">
      <c r="AA65" s="18">
        <v>1.1499999999999999</v>
      </c>
    </row>
    <row r="67" spans="11:27">
      <c r="K67" t="s">
        <v>33</v>
      </c>
    </row>
    <row r="69" spans="11:27">
      <c r="K69" s="1" t="s">
        <v>34</v>
      </c>
    </row>
    <row r="71" spans="11:27">
      <c r="K71" s="1" t="s">
        <v>31</v>
      </c>
    </row>
    <row r="73" spans="11:27">
      <c r="K73" s="1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29CBB-08FC-4A86-9AB6-C7EEC4A66553}">
  <dimension ref="A1"/>
  <sheetViews>
    <sheetView workbookViewId="0"/>
  </sheetViews>
  <sheetFormatPr defaultRowHeight="1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ETH-ETF-ALL-DATA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SATHYA KRISHNASAMY</dc:creator>
  <cp:lastModifiedBy>SATHYA KRISHNASAMY</cp:lastModifiedBy>
  <dcterms:created xsi:type="dcterms:W3CDTF">2024-09-15T00:27:21Z</dcterms:created>
  <dcterms:modified xsi:type="dcterms:W3CDTF">2024-09-17T06:08:18Z</dcterms:modified>
</cp:coreProperties>
</file>